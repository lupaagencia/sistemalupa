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RABAJOS\LUPA\UTILIDADES\HERRAMIENTAS\"/>
    </mc:Choice>
  </mc:AlternateContent>
  <xr:revisionPtr revIDLastSave="0" documentId="13_ncr:1_{EB8D8C26-F92D-4CFA-BA26-D994F6807F0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Hoja1!$Q$2:$V$44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0" i="2"/>
  <c r="E9" i="2"/>
  <c r="E8" i="2"/>
  <c r="C14" i="2"/>
  <c r="C13" i="2"/>
  <c r="C12" i="2"/>
  <c r="C10" i="2"/>
  <c r="C9" i="2"/>
  <c r="C8" i="2"/>
  <c r="E6" i="2"/>
  <c r="E5" i="2"/>
  <c r="E4" i="2"/>
  <c r="C6" i="2"/>
  <c r="C5" i="2"/>
  <c r="C4" i="2"/>
  <c r="F83" i="1"/>
  <c r="F82" i="1"/>
  <c r="F81" i="1"/>
  <c r="H80" i="1"/>
  <c r="F80" i="1"/>
  <c r="F79" i="1"/>
  <c r="H77" i="1"/>
  <c r="F76" i="1"/>
  <c r="F74" i="1"/>
  <c r="F73" i="1"/>
  <c r="F72" i="1"/>
  <c r="F71" i="1"/>
  <c r="F70" i="1"/>
  <c r="F69" i="1"/>
  <c r="F68" i="1"/>
  <c r="F67" i="1"/>
  <c r="F66" i="1"/>
  <c r="G60" i="1"/>
  <c r="H60" i="1" s="1"/>
  <c r="E57" i="1"/>
  <c r="H57" i="1" s="1"/>
  <c r="D65" i="1" s="1"/>
  <c r="F65" i="1" s="1"/>
  <c r="C54" i="1"/>
  <c r="E54" i="1" s="1"/>
  <c r="H54" i="1" s="1"/>
  <c r="D64" i="1" s="1"/>
  <c r="F64" i="1" s="1"/>
  <c r="C51" i="1"/>
  <c r="E51" i="1" s="1"/>
  <c r="H51" i="1" s="1"/>
  <c r="D63" i="1" s="1"/>
  <c r="F63" i="1" s="1"/>
  <c r="C10" i="1"/>
  <c r="E10" i="1" s="1"/>
  <c r="C7" i="1"/>
  <c r="E7" i="1" s="1"/>
  <c r="A16" i="1" s="1"/>
  <c r="D78" i="1" l="1"/>
  <c r="F78" i="1" s="1"/>
  <c r="F87" i="1" s="1"/>
  <c r="D75" i="1"/>
  <c r="F75" i="1" s="1"/>
  <c r="F85" i="1" s="1"/>
  <c r="H85" i="1" s="1"/>
  <c r="D77" i="1"/>
  <c r="F77" i="1" s="1"/>
  <c r="F86" i="1" s="1"/>
  <c r="F84" i="1"/>
  <c r="H86" i="1" l="1"/>
  <c r="I86" i="1" s="1"/>
  <c r="H84" i="1"/>
  <c r="I84" i="1" s="1"/>
  <c r="H87" i="1"/>
  <c r="I87" i="1" s="1"/>
  <c r="F88" i="1"/>
  <c r="H33" i="1"/>
  <c r="H36" i="1"/>
  <c r="H88" i="1" l="1"/>
  <c r="I88" i="1" s="1"/>
  <c r="I85" i="1"/>
  <c r="F35" i="1"/>
  <c r="I39" i="1" l="1"/>
  <c r="V23" i="1" l="1"/>
  <c r="F118" i="1"/>
  <c r="F117" i="1"/>
  <c r="F116" i="1"/>
  <c r="F115" i="1"/>
  <c r="F114" i="1"/>
  <c r="H111" i="1"/>
  <c r="F111" i="1"/>
  <c r="F109" i="1"/>
  <c r="F108" i="1"/>
  <c r="F107" i="1"/>
  <c r="H106" i="1"/>
  <c r="F106" i="1"/>
  <c r="F105" i="1"/>
  <c r="H104" i="1"/>
  <c r="F104" i="1"/>
  <c r="F103" i="1"/>
  <c r="F102" i="1"/>
  <c r="H101" i="1"/>
  <c r="G97" i="1"/>
  <c r="H97" i="1" s="1"/>
  <c r="D113" i="1" s="1"/>
  <c r="F113" i="1" s="1"/>
  <c r="E94" i="1"/>
  <c r="H94" i="1" s="1"/>
  <c r="D101" i="1" s="1"/>
  <c r="F101" i="1" s="1"/>
  <c r="E91" i="1"/>
  <c r="H91" i="1" s="1"/>
  <c r="D100" i="1" s="1"/>
  <c r="F100" i="1" s="1"/>
  <c r="F39" i="1"/>
  <c r="F38" i="1"/>
  <c r="F37" i="1"/>
  <c r="F36" i="1"/>
  <c r="F32" i="1"/>
  <c r="F30" i="1"/>
  <c r="F29" i="1"/>
  <c r="F28" i="1"/>
  <c r="F27" i="1"/>
  <c r="F26" i="1"/>
  <c r="F25" i="1"/>
  <c r="F24" i="1"/>
  <c r="F23" i="1"/>
  <c r="F22" i="1"/>
  <c r="G16" i="1"/>
  <c r="H16" i="1" s="1"/>
  <c r="D34" i="1" s="1"/>
  <c r="E13" i="1"/>
  <c r="H13" i="1" s="1"/>
  <c r="D21" i="1" s="1"/>
  <c r="F21" i="1" s="1"/>
  <c r="H10" i="1"/>
  <c r="D20" i="1" s="1"/>
  <c r="F20" i="1" s="1"/>
  <c r="H7" i="1"/>
  <c r="D19" i="1" s="1"/>
  <c r="F19" i="1" s="1"/>
  <c r="M118" i="1"/>
  <c r="M117" i="1"/>
  <c r="M116" i="1"/>
  <c r="M115" i="1"/>
  <c r="M114" i="1"/>
  <c r="O111" i="1"/>
  <c r="M111" i="1"/>
  <c r="M109" i="1"/>
  <c r="M108" i="1"/>
  <c r="M107" i="1"/>
  <c r="O106" i="1"/>
  <c r="M106" i="1"/>
  <c r="M105" i="1"/>
  <c r="O104" i="1"/>
  <c r="M104" i="1"/>
  <c r="M103" i="1"/>
  <c r="M102" i="1"/>
  <c r="O101" i="1"/>
  <c r="N97" i="1"/>
  <c r="O97" i="1" s="1"/>
  <c r="K113" i="1" s="1"/>
  <c r="M113" i="1" s="1"/>
  <c r="L94" i="1"/>
  <c r="O94" i="1" s="1"/>
  <c r="K101" i="1" s="1"/>
  <c r="M101" i="1" s="1"/>
  <c r="L91" i="1"/>
  <c r="O91" i="1" s="1"/>
  <c r="K100" i="1" s="1"/>
  <c r="M100" i="1" s="1"/>
  <c r="M78" i="1"/>
  <c r="M77" i="1"/>
  <c r="M76" i="1"/>
  <c r="M75" i="1"/>
  <c r="M74" i="1"/>
  <c r="M71" i="1"/>
  <c r="M69" i="1"/>
  <c r="M68" i="1"/>
  <c r="M67" i="1"/>
  <c r="M66" i="1"/>
  <c r="M65" i="1"/>
  <c r="M64" i="1"/>
  <c r="M63" i="1"/>
  <c r="M62" i="1"/>
  <c r="N57" i="1"/>
  <c r="O57" i="1" s="1"/>
  <c r="K73" i="1" s="1"/>
  <c r="M73" i="1" s="1"/>
  <c r="L54" i="1"/>
  <c r="O54" i="1" s="1"/>
  <c r="K61" i="1" s="1"/>
  <c r="M61" i="1" s="1"/>
  <c r="L51" i="1"/>
  <c r="O51" i="1" s="1"/>
  <c r="K60" i="1" s="1"/>
  <c r="M60" i="1" s="1"/>
  <c r="M39" i="1"/>
  <c r="M38" i="1"/>
  <c r="M37" i="1"/>
  <c r="M36" i="1"/>
  <c r="M35" i="1"/>
  <c r="M32" i="1"/>
  <c r="M30" i="1"/>
  <c r="M29" i="1"/>
  <c r="M28" i="1"/>
  <c r="M27" i="1"/>
  <c r="M26" i="1"/>
  <c r="M25" i="1"/>
  <c r="M24" i="1"/>
  <c r="O23" i="1"/>
  <c r="M23" i="1"/>
  <c r="M22" i="1"/>
  <c r="N16" i="1"/>
  <c r="O16" i="1" s="1"/>
  <c r="L13" i="1"/>
  <c r="O13" i="1" s="1"/>
  <c r="K21" i="1" s="1"/>
  <c r="M21" i="1" s="1"/>
  <c r="L10" i="1"/>
  <c r="O10" i="1" s="1"/>
  <c r="K20" i="1" s="1"/>
  <c r="M20" i="1" s="1"/>
  <c r="L7" i="1"/>
  <c r="O7" i="1" s="1"/>
  <c r="K19" i="1" s="1"/>
  <c r="M19" i="1" s="1"/>
  <c r="F34" i="1" l="1"/>
  <c r="F43" i="1" s="1"/>
  <c r="H43" i="1" s="1"/>
  <c r="I43" i="1" s="1"/>
  <c r="D31" i="1"/>
  <c r="F31" i="1" s="1"/>
  <c r="F41" i="1" s="1"/>
  <c r="H41" i="1" s="1"/>
  <c r="I41" i="1" s="1"/>
  <c r="F40" i="1"/>
  <c r="H40" i="1" s="1"/>
  <c r="I40" i="1" s="1"/>
  <c r="F122" i="1"/>
  <c r="H122" i="1" s="1"/>
  <c r="F119" i="1"/>
  <c r="H119" i="1" s="1"/>
  <c r="D33" i="1"/>
  <c r="F33" i="1" s="1"/>
  <c r="D110" i="1"/>
  <c r="F110" i="1" s="1"/>
  <c r="F120" i="1" s="1"/>
  <c r="H120" i="1" s="1"/>
  <c r="D112" i="1"/>
  <c r="F112" i="1" s="1"/>
  <c r="F123" i="1" s="1"/>
  <c r="H123" i="1" s="1"/>
  <c r="K34" i="1"/>
  <c r="M34" i="1" s="1"/>
  <c r="K33" i="1"/>
  <c r="M33" i="1" s="1"/>
  <c r="M42" i="1" s="1"/>
  <c r="O42" i="1" s="1"/>
  <c r="K31" i="1"/>
  <c r="M31" i="1" s="1"/>
  <c r="M41" i="1" s="1"/>
  <c r="O41" i="1" s="1"/>
  <c r="M82" i="1"/>
  <c r="O82" i="1" s="1"/>
  <c r="M79" i="1"/>
  <c r="O79" i="1" s="1"/>
  <c r="M122" i="1"/>
  <c r="O122" i="1" s="1"/>
  <c r="M119" i="1"/>
  <c r="O119" i="1" s="1"/>
  <c r="M40" i="1"/>
  <c r="O40" i="1" s="1"/>
  <c r="K70" i="1"/>
  <c r="M70" i="1" s="1"/>
  <c r="M80" i="1" s="1"/>
  <c r="O80" i="1" s="1"/>
  <c r="K72" i="1"/>
  <c r="M72" i="1" s="1"/>
  <c r="M83" i="1" s="1"/>
  <c r="O83" i="1" s="1"/>
  <c r="K110" i="1"/>
  <c r="M110" i="1" s="1"/>
  <c r="M120" i="1" s="1"/>
  <c r="O120" i="1" s="1"/>
  <c r="K112" i="1"/>
  <c r="M112" i="1" s="1"/>
  <c r="M123" i="1" s="1"/>
  <c r="O123" i="1" s="1"/>
  <c r="V111" i="1"/>
  <c r="V106" i="1"/>
  <c r="V104" i="1"/>
  <c r="V101" i="1"/>
  <c r="W101" i="1" s="1"/>
  <c r="M121" i="1" l="1"/>
  <c r="O121" i="1" s="1"/>
  <c r="F44" i="1"/>
  <c r="M44" i="1"/>
  <c r="O44" i="1" s="1"/>
  <c r="F121" i="1"/>
  <c r="H121" i="1" s="1"/>
  <c r="F42" i="1"/>
  <c r="H42" i="1" s="1"/>
  <c r="I42" i="1" s="1"/>
  <c r="M43" i="1"/>
  <c r="O43" i="1" s="1"/>
  <c r="M81" i="1"/>
  <c r="O81" i="1" s="1"/>
  <c r="S13" i="1"/>
  <c r="H44" i="1" l="1"/>
  <c r="I44" i="1" s="1"/>
  <c r="H39" i="1"/>
  <c r="T118" i="1"/>
  <c r="T117" i="1"/>
  <c r="T116" i="1"/>
  <c r="T115" i="1"/>
  <c r="T114" i="1"/>
  <c r="T111" i="1"/>
  <c r="T109" i="1"/>
  <c r="T108" i="1"/>
  <c r="T107" i="1"/>
  <c r="T106" i="1"/>
  <c r="T105" i="1"/>
  <c r="T104" i="1"/>
  <c r="T103" i="1"/>
  <c r="T102" i="1"/>
  <c r="U97" i="1"/>
  <c r="V97" i="1" s="1"/>
  <c r="S94" i="1"/>
  <c r="V94" i="1" s="1"/>
  <c r="R101" i="1" s="1"/>
  <c r="T101" i="1" s="1"/>
  <c r="S91" i="1"/>
  <c r="V91" i="1" s="1"/>
  <c r="R100" i="1" s="1"/>
  <c r="T100" i="1" s="1"/>
  <c r="W77" i="1"/>
  <c r="T22" i="1"/>
  <c r="T23" i="1"/>
  <c r="T24" i="1"/>
  <c r="T119" i="1" l="1"/>
  <c r="V119" i="1" s="1"/>
  <c r="R110" i="1"/>
  <c r="T110" i="1" s="1"/>
  <c r="T120" i="1" s="1"/>
  <c r="V120" i="1" s="1"/>
  <c r="R113" i="1"/>
  <c r="T113" i="1" s="1"/>
  <c r="T122" i="1" s="1"/>
  <c r="V122" i="1" s="1"/>
  <c r="R112" i="1"/>
  <c r="T112" i="1" s="1"/>
  <c r="T27" i="1"/>
  <c r="T26" i="1"/>
  <c r="V13" i="1"/>
  <c r="R21" i="1" s="1"/>
  <c r="T21" i="1" s="1"/>
  <c r="T25" i="1"/>
  <c r="W79" i="1"/>
  <c r="T78" i="1"/>
  <c r="T77" i="1"/>
  <c r="T76" i="1"/>
  <c r="T75" i="1"/>
  <c r="T74" i="1"/>
  <c r="T71" i="1"/>
  <c r="T69" i="1"/>
  <c r="T68" i="1"/>
  <c r="T67" i="1"/>
  <c r="T66" i="1"/>
  <c r="T65" i="1"/>
  <c r="T64" i="1"/>
  <c r="T63" i="1"/>
  <c r="T62" i="1"/>
  <c r="U57" i="1"/>
  <c r="V57" i="1" s="1"/>
  <c r="S54" i="1"/>
  <c r="V54" i="1" s="1"/>
  <c r="R61" i="1" s="1"/>
  <c r="S51" i="1"/>
  <c r="V51" i="1" s="1"/>
  <c r="R60" i="1" s="1"/>
  <c r="T60" i="1" s="1"/>
  <c r="S10" i="1"/>
  <c r="V10" i="1" s="1"/>
  <c r="T39" i="1"/>
  <c r="T38" i="1"/>
  <c r="T37" i="1"/>
  <c r="T36" i="1"/>
  <c r="T35" i="1"/>
  <c r="T32" i="1"/>
  <c r="T30" i="1"/>
  <c r="T29" i="1"/>
  <c r="T28" i="1"/>
  <c r="U16" i="1"/>
  <c r="S7" i="1"/>
  <c r="T123" i="1" l="1"/>
  <c r="V123" i="1" s="1"/>
  <c r="T121" i="1"/>
  <c r="V121" i="1" s="1"/>
  <c r="R20" i="1"/>
  <c r="T20" i="1" s="1"/>
  <c r="V7" i="1"/>
  <c r="V16" i="1"/>
  <c r="R31" i="1" s="1"/>
  <c r="T61" i="1"/>
  <c r="T79" i="1" s="1"/>
  <c r="V79" i="1" s="1"/>
  <c r="R73" i="1"/>
  <c r="T73" i="1" s="1"/>
  <c r="R72" i="1"/>
  <c r="T72" i="1" s="1"/>
  <c r="R70" i="1"/>
  <c r="T70" i="1" s="1"/>
  <c r="T83" i="1" l="1"/>
  <c r="R19" i="1"/>
  <c r="T19" i="1" s="1"/>
  <c r="T40" i="1" s="1"/>
  <c r="R33" i="1"/>
  <c r="T33" i="1" s="1"/>
  <c r="R34" i="1"/>
  <c r="T34" i="1" s="1"/>
  <c r="T31" i="1"/>
  <c r="T80" i="1"/>
  <c r="V80" i="1" s="1"/>
  <c r="V83" i="1"/>
  <c r="T82" i="1"/>
  <c r="V82" i="1" s="1"/>
  <c r="T81" i="1"/>
  <c r="V81" i="1" s="1"/>
  <c r="T43" i="1" l="1"/>
  <c r="V43" i="1" s="1"/>
  <c r="T41" i="1"/>
  <c r="V41" i="1" s="1"/>
  <c r="T42" i="1"/>
  <c r="V42" i="1" s="1"/>
  <c r="T44" i="1"/>
  <c r="V44" i="1" s="1"/>
  <c r="V40" i="1" l="1"/>
  <c r="W40" i="1" s="1"/>
</calcChain>
</file>

<file path=xl/sharedStrings.xml><?xml version="1.0" encoding="utf-8"?>
<sst xmlns="http://schemas.openxmlformats.org/spreadsheetml/2006/main" count="557" uniqueCount="92">
  <si>
    <t>PAPEL</t>
  </si>
  <si>
    <t>PROCESO O INSUMO</t>
  </si>
  <si>
    <t>PLANCHAS</t>
  </si>
  <si>
    <t>PLIEGOS</t>
  </si>
  <si>
    <t>CANTIDAD</t>
  </si>
  <si>
    <t>CABIDA</t>
  </si>
  <si>
    <t xml:space="preserve">TAMAÑOS </t>
  </si>
  <si>
    <t>SOBRANTE</t>
  </si>
  <si>
    <t>VR UNITARIO</t>
  </si>
  <si>
    <t>VALOR TOTAL</t>
  </si>
  <si>
    <t>CALCULO DE PLIEGOS</t>
  </si>
  <si>
    <t>CALCULO METROS CUADRADOS PLASTIFICADO MATE, RESERVA UV Y UV TOTAL</t>
  </si>
  <si>
    <t>AREA EN M</t>
  </si>
  <si>
    <t>LADO A EN CM</t>
  </si>
  <si>
    <t>LADO B EN CM</t>
  </si>
  <si>
    <r>
      <t>CANTIDAD 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</si>
  <si>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CANTIDAD TAMAÑOS</t>
  </si>
  <si>
    <t>CANT CARAS</t>
  </si>
  <si>
    <t>PLEGADO</t>
  </si>
  <si>
    <t>GRAFADO</t>
  </si>
  <si>
    <t>TROQUELADO</t>
  </si>
  <si>
    <t>TROQUEL</t>
  </si>
  <si>
    <t>UV TOTAL</t>
  </si>
  <si>
    <t>UV PARCIAL</t>
  </si>
  <si>
    <t>MARCO SCREEN</t>
  </si>
  <si>
    <t>PLASTIFICADO MATE</t>
  </si>
  <si>
    <t>REFILE</t>
  </si>
  <si>
    <t>REPUJADO</t>
  </si>
  <si>
    <t>ESTAMPADO</t>
  </si>
  <si>
    <t>VALOR SIN ACABADO</t>
  </si>
  <si>
    <t>VALOR CON PLASTIFICADO MATE</t>
  </si>
  <si>
    <t>VALOR CON UV TOTAL</t>
  </si>
  <si>
    <t>VALOR CON UV PARCIAL</t>
  </si>
  <si>
    <t>VALOR CON PLASTIFICADO MATE Y UV PARCIAL</t>
  </si>
  <si>
    <t>DESCRIPCION</t>
  </si>
  <si>
    <t>MEDIDA TAM</t>
  </si>
  <si>
    <t>NUMERADO</t>
  </si>
  <si>
    <t>MASTERS</t>
  </si>
  <si>
    <t>TERMINADO</t>
  </si>
  <si>
    <t>PLEGALE OFICIO</t>
  </si>
  <si>
    <t xml:space="preserve">CARATULA </t>
  </si>
  <si>
    <t>TIRAJES HOJAS INTERNAS</t>
  </si>
  <si>
    <t>TIRAJES TIRAJES CARATULA</t>
  </si>
  <si>
    <t>PLANCHAS insertos</t>
  </si>
  <si>
    <t>papel insertos</t>
  </si>
  <si>
    <t>tiraje tiraje insertos</t>
  </si>
  <si>
    <t>tirajes hojas internas</t>
  </si>
  <si>
    <t>tiraje  pasta</t>
  </si>
  <si>
    <t>papel pasta</t>
  </si>
  <si>
    <t>planchas preliminares</t>
  </si>
  <si>
    <t>tiraje preliminares</t>
  </si>
  <si>
    <t>Shoe Size</t>
  </si>
  <si>
    <t>Foot Inches</t>
  </si>
  <si>
    <t>Foot mm</t>
  </si>
  <si>
    <t>5 - 5 3/8</t>
  </si>
  <si>
    <t>127 - 137</t>
  </si>
  <si>
    <t>5 11/16 - 6</t>
  </si>
  <si>
    <t>144 - 152</t>
  </si>
  <si>
    <t>6 3/8 - 6 11/16</t>
  </si>
  <si>
    <t>162 - 170</t>
  </si>
  <si>
    <t>7 - 7 1/4</t>
  </si>
  <si>
    <t>178 - 184</t>
  </si>
  <si>
    <t>7 5/8 - 7 15/16</t>
  </si>
  <si>
    <t>194 - 202</t>
  </si>
  <si>
    <t>8 1/4 - 8 5/8</t>
  </si>
  <si>
    <t>210 - 219</t>
  </si>
  <si>
    <t>*50/4</t>
  </si>
  <si>
    <t>70/3</t>
  </si>
  <si>
    <t>22*12</t>
  </si>
  <si>
    <t>14*15</t>
  </si>
  <si>
    <t>doble o</t>
  </si>
  <si>
    <t>espiral</t>
  </si>
  <si>
    <t>13*22</t>
  </si>
  <si>
    <t>tacos mana</t>
  </si>
  <si>
    <t>abanicos mana</t>
  </si>
  <si>
    <t>resorte</t>
  </si>
  <si>
    <t>cuadernos</t>
  </si>
  <si>
    <t>IMPRESIONES</t>
  </si>
  <si>
    <t>CANTIDAD IMPRESIONES</t>
  </si>
  <si>
    <t>PORTADA</t>
  </si>
  <si>
    <t xml:space="preserve"> </t>
  </si>
  <si>
    <t>IVA</t>
  </si>
  <si>
    <t>Margen</t>
  </si>
  <si>
    <t>Caja de churros</t>
  </si>
  <si>
    <t>papa domicilio</t>
  </si>
  <si>
    <t>kraft</t>
  </si>
  <si>
    <t>came</t>
  </si>
  <si>
    <t>l8 domicilio</t>
  </si>
  <si>
    <t>10k</t>
  </si>
  <si>
    <t>20k</t>
  </si>
  <si>
    <t>40k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</si>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</sst>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4" formatCode="[$$-240A]\ #,##0"/>
    <numFmt numFmtId="165" formatCode="[$$-240A]\ #,##0.00"/>
    <numFmt numFmtId="167" formatCode="_-&quot;$&quot;\ * #,##0.00_-;\-&quot;$&quot;\ * #,##0.00_-;_-&quot;$&quot;\ * &quot;-&quot;_-;_-@_-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1" fillId="0" borderId="0" applyFont="0" applyFill="0" applyBorder="0" applyAlignment="0" applyProtection="0"/>
  </cellStyleXfs>
  <cellXfs count="4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5" xfId="0" applyFont="1" applyBorder="1" applyAlignment="1"/>
    <xf numFmtId="0" fontId="3" fillId="0" borderId="0" xfId="0" applyFont="1"/>
    <xf numFmtId="0" fontId="7" fillId="0" borderId="0" xfId="0" applyFont="1"/>
    <xf numFmtId="0" fontId="2" fillId="0" borderId="0" xfId="0" applyFont="1"/>
    <xf numFmtId="164" fontId="7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4" fillId="2" borderId="0" xfId="0" applyFont="1" applyFill="1"/>
    <xf numFmtId="1" fontId="0" fillId="0" borderId="7" xfId="0" applyNumberFormat="1" applyBorder="1"/>
    <xf numFmtId="1" fontId="2" fillId="0" borderId="8" xfId="0" applyNumberFormat="1" applyFont="1" applyBorder="1"/>
    <xf numFmtId="1" fontId="0" fillId="0" borderId="0" xfId="0" applyNumberFormat="1"/>
    <xf numFmtId="1" fontId="2" fillId="0" borderId="8" xfId="0" applyNumberFormat="1" applyFont="1" applyBorder="1" applyAlignment="1"/>
    <xf numFmtId="165" fontId="0" fillId="0" borderId="0" xfId="0" applyNumberFormat="1"/>
    <xf numFmtId="1" fontId="0" fillId="0" borderId="6" xfId="0" applyNumberFormat="1" applyBorder="1"/>
    <xf numFmtId="12" fontId="0" fillId="0" borderId="0" xfId="0" applyNumberFormat="1"/>
    <xf numFmtId="13" fontId="0" fillId="0" borderId="0" xfId="0" applyNumberFormat="1"/>
    <xf numFmtId="16" fontId="0" fillId="0" borderId="0" xfId="0" applyNumberFormat="1"/>
    <xf numFmtId="1" fontId="2" fillId="0" borderId="7" xfId="0" applyNumberFormat="1" applyFont="1" applyBorder="1"/>
    <xf numFmtId="0" fontId="3" fillId="0" borderId="0" xfId="0" applyFont="1" applyBorder="1" applyAlignment="1"/>
    <xf numFmtId="1" fontId="2" fillId="0" borderId="7" xfId="0" applyNumberFormat="1" applyFont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/>
    <xf numFmtId="0" fontId="0" fillId="0" borderId="0" xfId="0" applyFill="1" applyBorder="1"/>
    <xf numFmtId="0" fontId="4" fillId="0" borderId="0" xfId="0" applyFont="1" applyFill="1" applyBorder="1"/>
    <xf numFmtId="0" fontId="9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2" fillId="0" borderId="0" xfId="0" applyNumberFormat="1" applyFont="1" applyFill="1" applyBorder="1"/>
    <xf numFmtId="1" fontId="2" fillId="0" borderId="0" xfId="0" applyNumberFormat="1" applyFont="1" applyFill="1" applyBorder="1" applyAlignment="1"/>
    <xf numFmtId="165" fontId="0" fillId="0" borderId="0" xfId="0" applyNumberFormat="1" applyFill="1" applyBorder="1"/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0" fillId="0" borderId="0" xfId="0" applyNumberFormat="1" applyFont="1"/>
    <xf numFmtId="0" fontId="10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1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"/>
  <sheetViews>
    <sheetView topLeftCell="A70" workbookViewId="0">
      <selection activeCell="F19" sqref="F19"/>
    </sheetView>
  </sheetViews>
  <sheetFormatPr baseColWidth="10" defaultRowHeight="15" x14ac:dyDescent="0.25"/>
  <cols>
    <col min="1" max="1" width="20.140625" bestFit="1" customWidth="1"/>
    <col min="2" max="2" width="14" customWidth="1"/>
    <col min="3" max="3" width="22.7109375" customWidth="1"/>
    <col min="4" max="4" width="13.85546875" bestFit="1" customWidth="1"/>
    <col min="5" max="5" width="13.7109375" bestFit="1" customWidth="1"/>
    <col min="6" max="6" width="13" bestFit="1" customWidth="1"/>
    <col min="7" max="7" width="12.85546875" bestFit="1" customWidth="1"/>
    <col min="8" max="8" width="14.140625" bestFit="1" customWidth="1"/>
    <col min="9" max="9" width="14.140625" style="32" customWidth="1"/>
    <col min="10" max="10" width="20.140625" bestFit="1" customWidth="1"/>
    <col min="11" max="11" width="13.85546875" bestFit="1" customWidth="1"/>
    <col min="12" max="12" width="13.7109375" bestFit="1" customWidth="1"/>
    <col min="13" max="13" width="13" bestFit="1" customWidth="1"/>
    <col min="14" max="14" width="12.85546875" bestFit="1" customWidth="1"/>
    <col min="15" max="15" width="14.140625" bestFit="1" customWidth="1"/>
    <col min="16" max="16" width="14.140625" style="32" customWidth="1"/>
    <col min="17" max="17" width="20.140625" bestFit="1" customWidth="1"/>
    <col min="18" max="18" width="13.85546875" bestFit="1" customWidth="1"/>
    <col min="19" max="19" width="13.7109375" bestFit="1" customWidth="1"/>
    <col min="20" max="20" width="13" bestFit="1" customWidth="1"/>
    <col min="21" max="21" width="12.85546875" bestFit="1" customWidth="1"/>
    <col min="22" max="23" width="14.140625" bestFit="1" customWidth="1"/>
  </cols>
  <sheetData>
    <row r="1" spans="1:22" x14ac:dyDescent="0.25">
      <c r="A1" t="s">
        <v>81</v>
      </c>
      <c r="B1">
        <v>1</v>
      </c>
    </row>
    <row r="2" spans="1:22" x14ac:dyDescent="0.25">
      <c r="A2" t="s">
        <v>82</v>
      </c>
      <c r="B2">
        <v>1</v>
      </c>
      <c r="J2" t="s">
        <v>80</v>
      </c>
    </row>
    <row r="3" spans="1:22" ht="21" x14ac:dyDescent="0.35">
      <c r="A3" s="16" t="s">
        <v>34</v>
      </c>
      <c r="B3" s="16"/>
      <c r="C3" s="16"/>
      <c r="D3" s="17"/>
      <c r="E3" s="17"/>
      <c r="F3" s="17"/>
      <c r="G3" s="17"/>
      <c r="H3" s="17"/>
      <c r="I3" s="33"/>
      <c r="J3" s="16" t="s">
        <v>34</v>
      </c>
      <c r="K3" s="17"/>
      <c r="L3" s="17"/>
      <c r="M3" s="17"/>
      <c r="N3" s="17"/>
      <c r="O3" s="17"/>
      <c r="P3" s="33"/>
      <c r="Q3" s="16" t="s">
        <v>34</v>
      </c>
      <c r="R3" s="17"/>
      <c r="S3" s="17"/>
      <c r="T3" s="17"/>
      <c r="U3" s="17"/>
      <c r="V3" s="17"/>
    </row>
    <row r="4" spans="1:22" ht="16.5" thickBot="1" x14ac:dyDescent="0.3">
      <c r="A4" s="46" t="s">
        <v>83</v>
      </c>
      <c r="B4" s="46"/>
      <c r="C4" s="46"/>
      <c r="D4" s="46"/>
      <c r="E4" s="46"/>
      <c r="F4" s="46"/>
      <c r="G4" s="46"/>
      <c r="H4" s="46"/>
      <c r="I4" s="34"/>
      <c r="J4" s="46" t="s">
        <v>74</v>
      </c>
      <c r="K4" s="46"/>
      <c r="L4" s="46"/>
      <c r="M4" s="46"/>
      <c r="N4" s="46"/>
      <c r="O4" s="46"/>
      <c r="P4" s="34"/>
      <c r="Q4" s="46" t="s">
        <v>73</v>
      </c>
      <c r="R4" s="46"/>
      <c r="S4" s="46"/>
      <c r="T4" s="46"/>
      <c r="U4" s="46"/>
      <c r="V4" s="46"/>
    </row>
    <row r="5" spans="1:22" ht="15.75" x14ac:dyDescent="0.25">
      <c r="A5" s="43" t="s">
        <v>10</v>
      </c>
      <c r="B5" s="44"/>
      <c r="C5" s="44"/>
      <c r="D5" s="44"/>
      <c r="E5" s="44"/>
      <c r="F5" s="44"/>
      <c r="G5" s="44"/>
      <c r="H5" s="45"/>
      <c r="I5" s="35"/>
      <c r="J5" s="43" t="s">
        <v>10</v>
      </c>
      <c r="K5" s="44"/>
      <c r="L5" s="44"/>
      <c r="M5" s="44"/>
      <c r="N5" s="44"/>
      <c r="O5" s="45"/>
      <c r="P5" s="35"/>
      <c r="Q5" s="43" t="s">
        <v>10</v>
      </c>
      <c r="R5" s="44"/>
      <c r="S5" s="44"/>
      <c r="T5" s="44"/>
      <c r="U5" s="44"/>
      <c r="V5" s="45"/>
    </row>
    <row r="6" spans="1:22" x14ac:dyDescent="0.25">
      <c r="A6" s="7" t="s">
        <v>4</v>
      </c>
      <c r="B6" s="8" t="s">
        <v>77</v>
      </c>
      <c r="C6" s="8" t="s">
        <v>78</v>
      </c>
      <c r="D6" s="8" t="s">
        <v>5</v>
      </c>
      <c r="E6" s="8" t="s">
        <v>6</v>
      </c>
      <c r="F6" s="8" t="s">
        <v>7</v>
      </c>
      <c r="G6" s="8" t="s">
        <v>35</v>
      </c>
      <c r="H6" s="8" t="s">
        <v>3</v>
      </c>
      <c r="I6" s="30"/>
      <c r="J6" s="8" t="s">
        <v>4</v>
      </c>
      <c r="K6" s="8" t="s">
        <v>5</v>
      </c>
      <c r="L6" s="8" t="s">
        <v>6</v>
      </c>
      <c r="M6" s="8" t="s">
        <v>7</v>
      </c>
      <c r="N6" s="8" t="s">
        <v>35</v>
      </c>
      <c r="O6" s="8" t="s">
        <v>3</v>
      </c>
      <c r="P6" s="30"/>
      <c r="Q6" s="8" t="s">
        <v>4</v>
      </c>
      <c r="R6" s="8" t="s">
        <v>5</v>
      </c>
      <c r="S6" s="8" t="s">
        <v>6</v>
      </c>
      <c r="T6" s="8" t="s">
        <v>7</v>
      </c>
      <c r="U6" s="8" t="s">
        <v>35</v>
      </c>
      <c r="V6" s="9" t="s">
        <v>3</v>
      </c>
    </row>
    <row r="7" spans="1:22" ht="15.75" thickBot="1" x14ac:dyDescent="0.3">
      <c r="A7" s="4">
        <v>10000</v>
      </c>
      <c r="B7" s="5">
        <v>1</v>
      </c>
      <c r="C7" s="5">
        <f>A7*B7</f>
        <v>10000</v>
      </c>
      <c r="D7" s="5">
        <v>2</v>
      </c>
      <c r="E7" s="18">
        <f>C7/D7</f>
        <v>5000</v>
      </c>
      <c r="F7" s="5">
        <v>100</v>
      </c>
      <c r="G7" s="6">
        <v>3</v>
      </c>
      <c r="H7" s="27">
        <f>(E7+F7)/G7</f>
        <v>1700</v>
      </c>
      <c r="I7" s="36"/>
      <c r="J7" s="5">
        <v>1500</v>
      </c>
      <c r="K7" s="5">
        <v>2</v>
      </c>
      <c r="L7" s="18">
        <f>J7/K7</f>
        <v>750</v>
      </c>
      <c r="M7" s="5">
        <v>150</v>
      </c>
      <c r="N7" s="6">
        <v>10</v>
      </c>
      <c r="O7" s="27">
        <f>(L7+M7)/N7</f>
        <v>90</v>
      </c>
      <c r="P7" s="36"/>
      <c r="Q7" s="5">
        <v>100000</v>
      </c>
      <c r="R7" s="5">
        <v>6</v>
      </c>
      <c r="S7" s="18">
        <f>Q7/R7</f>
        <v>16666.666666666668</v>
      </c>
      <c r="T7" s="5">
        <v>100</v>
      </c>
      <c r="U7" s="6">
        <v>16</v>
      </c>
      <c r="V7" s="19">
        <f>(S7+T7)/U7</f>
        <v>1047.9166666666667</v>
      </c>
    </row>
    <row r="8" spans="1:22" ht="15.75" x14ac:dyDescent="0.25">
      <c r="A8" s="43" t="s">
        <v>10</v>
      </c>
      <c r="B8" s="44"/>
      <c r="C8" s="44"/>
      <c r="D8" s="44"/>
      <c r="E8" s="44"/>
      <c r="F8" s="44"/>
      <c r="G8" s="44"/>
      <c r="H8" s="45"/>
      <c r="I8" s="35"/>
      <c r="J8" s="43" t="s">
        <v>10</v>
      </c>
      <c r="K8" s="44"/>
      <c r="L8" s="44"/>
      <c r="M8" s="44"/>
      <c r="N8" s="44"/>
      <c r="O8" s="45"/>
      <c r="P8" s="35"/>
      <c r="Q8" s="43" t="s">
        <v>10</v>
      </c>
      <c r="R8" s="44"/>
      <c r="S8" s="44"/>
      <c r="T8" s="44"/>
      <c r="U8" s="44"/>
      <c r="V8" s="45"/>
    </row>
    <row r="9" spans="1:22" x14ac:dyDescent="0.25">
      <c r="A9" s="7" t="s">
        <v>4</v>
      </c>
      <c r="B9" s="8"/>
      <c r="C9" s="8"/>
      <c r="D9" s="8" t="s">
        <v>5</v>
      </c>
      <c r="E9" s="8" t="s">
        <v>6</v>
      </c>
      <c r="F9" s="8" t="s">
        <v>7</v>
      </c>
      <c r="G9" s="8" t="s">
        <v>35</v>
      </c>
      <c r="H9" s="8" t="s">
        <v>3</v>
      </c>
      <c r="I9" s="30"/>
      <c r="J9" s="8" t="s">
        <v>4</v>
      </c>
      <c r="K9" s="8" t="s">
        <v>5</v>
      </c>
      <c r="L9" s="8" t="s">
        <v>6</v>
      </c>
      <c r="M9" s="8" t="s">
        <v>7</v>
      </c>
      <c r="N9" s="8" t="s">
        <v>35</v>
      </c>
      <c r="O9" s="8" t="s">
        <v>3</v>
      </c>
      <c r="P9" s="30"/>
      <c r="Q9" s="8" t="s">
        <v>4</v>
      </c>
      <c r="R9" s="8" t="s">
        <v>5</v>
      </c>
      <c r="S9" s="8" t="s">
        <v>6</v>
      </c>
      <c r="T9" s="8" t="s">
        <v>7</v>
      </c>
      <c r="U9" s="8" t="s">
        <v>35</v>
      </c>
      <c r="V9" s="9" t="s">
        <v>3</v>
      </c>
    </row>
    <row r="10" spans="1:22" ht="15.75" thickBot="1" x14ac:dyDescent="0.3">
      <c r="A10" s="4">
        <v>2000</v>
      </c>
      <c r="B10" s="5">
        <v>3</v>
      </c>
      <c r="C10" s="5">
        <f>A10*B10</f>
        <v>6000</v>
      </c>
      <c r="D10" s="5">
        <v>2</v>
      </c>
      <c r="E10" s="18">
        <f>C10/D10</f>
        <v>3000</v>
      </c>
      <c r="F10" s="5">
        <v>300</v>
      </c>
      <c r="G10" s="6">
        <v>2</v>
      </c>
      <c r="H10" s="27">
        <f>(E10+F10)/G10</f>
        <v>1650</v>
      </c>
      <c r="I10" s="36"/>
      <c r="J10" s="5">
        <v>4000</v>
      </c>
      <c r="K10" s="5">
        <v>4</v>
      </c>
      <c r="L10" s="18">
        <f>J10/K10</f>
        <v>1000</v>
      </c>
      <c r="M10" s="5">
        <v>100</v>
      </c>
      <c r="N10" s="6">
        <v>8</v>
      </c>
      <c r="O10" s="27">
        <f>(L10+M10)/N10</f>
        <v>137.5</v>
      </c>
      <c r="P10" s="36"/>
      <c r="Q10" s="5">
        <v>4000</v>
      </c>
      <c r="R10" s="5">
        <v>4</v>
      </c>
      <c r="S10" s="18">
        <f>Q10/R10</f>
        <v>1000</v>
      </c>
      <c r="T10" s="5">
        <v>100</v>
      </c>
      <c r="U10" s="6">
        <v>8</v>
      </c>
      <c r="V10" s="19">
        <f>(S10+T10)/U10</f>
        <v>137.5</v>
      </c>
    </row>
    <row r="11" spans="1:22" ht="15.75" x14ac:dyDescent="0.25">
      <c r="A11" s="43" t="s">
        <v>10</v>
      </c>
      <c r="B11" s="44"/>
      <c r="C11" s="44"/>
      <c r="D11" s="44"/>
      <c r="E11" s="44"/>
      <c r="F11" s="44"/>
      <c r="G11" s="44"/>
      <c r="H11" s="45"/>
      <c r="I11" s="35"/>
      <c r="J11" s="43" t="s">
        <v>10</v>
      </c>
      <c r="K11" s="44"/>
      <c r="L11" s="44"/>
      <c r="M11" s="44"/>
      <c r="N11" s="44"/>
      <c r="O11" s="45"/>
      <c r="P11" s="35"/>
      <c r="Q11" s="43" t="s">
        <v>10</v>
      </c>
      <c r="R11" s="44"/>
      <c r="S11" s="44"/>
      <c r="T11" s="44"/>
      <c r="U11" s="44"/>
      <c r="V11" s="45"/>
    </row>
    <row r="12" spans="1:22" x14ac:dyDescent="0.25">
      <c r="A12" s="7" t="s">
        <v>4</v>
      </c>
      <c r="B12" s="8"/>
      <c r="C12" s="8"/>
      <c r="D12" s="8" t="s">
        <v>5</v>
      </c>
      <c r="E12" s="8" t="s">
        <v>6</v>
      </c>
      <c r="F12" s="8" t="s">
        <v>7</v>
      </c>
      <c r="G12" s="8" t="s">
        <v>35</v>
      </c>
      <c r="H12" s="8" t="s">
        <v>3</v>
      </c>
      <c r="I12" s="30"/>
      <c r="J12" s="8" t="s">
        <v>4</v>
      </c>
      <c r="K12" s="8" t="s">
        <v>5</v>
      </c>
      <c r="L12" s="8" t="s">
        <v>6</v>
      </c>
      <c r="M12" s="8" t="s">
        <v>7</v>
      </c>
      <c r="N12" s="8" t="s">
        <v>35</v>
      </c>
      <c r="O12" s="8" t="s">
        <v>3</v>
      </c>
      <c r="P12" s="30"/>
      <c r="Q12" s="8" t="s">
        <v>4</v>
      </c>
      <c r="R12" s="8" t="s">
        <v>5</v>
      </c>
      <c r="S12" s="8" t="s">
        <v>6</v>
      </c>
      <c r="T12" s="8" t="s">
        <v>7</v>
      </c>
      <c r="U12" s="8" t="s">
        <v>35</v>
      </c>
      <c r="V12" s="9" t="s">
        <v>3</v>
      </c>
    </row>
    <row r="13" spans="1:22" ht="15.75" thickBot="1" x14ac:dyDescent="0.3">
      <c r="A13" s="4">
        <v>10000</v>
      </c>
      <c r="B13" s="5"/>
      <c r="C13" s="5"/>
      <c r="D13" s="5">
        <v>2</v>
      </c>
      <c r="E13" s="18">
        <f>A13/D13</f>
        <v>5000</v>
      </c>
      <c r="F13" s="5">
        <v>100</v>
      </c>
      <c r="G13" s="6">
        <v>4</v>
      </c>
      <c r="H13" s="27">
        <f>(E13+F13)/G13</f>
        <v>1275</v>
      </c>
      <c r="I13" s="36"/>
      <c r="J13" s="5">
        <v>1</v>
      </c>
      <c r="K13" s="5">
        <v>2</v>
      </c>
      <c r="L13" s="18">
        <f>J13/K13</f>
        <v>0.5</v>
      </c>
      <c r="M13" s="5">
        <v>100</v>
      </c>
      <c r="N13" s="6">
        <v>16</v>
      </c>
      <c r="O13" s="27">
        <f>(L13+M13)/N13</f>
        <v>6.28125</v>
      </c>
      <c r="P13" s="36"/>
      <c r="Q13" s="5">
        <v>1</v>
      </c>
      <c r="R13" s="5">
        <v>2</v>
      </c>
      <c r="S13" s="18">
        <f>Q13/R13</f>
        <v>0.5</v>
      </c>
      <c r="T13" s="5">
        <v>100</v>
      </c>
      <c r="U13" s="6">
        <v>16</v>
      </c>
      <c r="V13" s="19">
        <f>(S13+T13)/U13</f>
        <v>6.28125</v>
      </c>
    </row>
    <row r="14" spans="1:22" ht="15.75" x14ac:dyDescent="0.25">
      <c r="A14" s="43" t="s">
        <v>11</v>
      </c>
      <c r="B14" s="44"/>
      <c r="C14" s="44"/>
      <c r="D14" s="44"/>
      <c r="E14" s="44"/>
      <c r="F14" s="44"/>
      <c r="G14" s="44"/>
      <c r="H14" s="45"/>
      <c r="I14" s="35"/>
      <c r="J14" s="43" t="s">
        <v>11</v>
      </c>
      <c r="K14" s="44"/>
      <c r="L14" s="44"/>
      <c r="M14" s="44"/>
      <c r="N14" s="44"/>
      <c r="O14" s="45"/>
      <c r="P14" s="35"/>
      <c r="Q14" s="43" t="s">
        <v>11</v>
      </c>
      <c r="R14" s="44"/>
      <c r="S14" s="44"/>
      <c r="T14" s="44"/>
      <c r="U14" s="44"/>
      <c r="V14" s="45"/>
    </row>
    <row r="15" spans="1:22" ht="17.25" x14ac:dyDescent="0.25">
      <c r="A15" s="7" t="s">
        <v>16</v>
      </c>
      <c r="B15" s="8"/>
      <c r="C15" s="8"/>
      <c r="D15" s="8" t="s">
        <v>17</v>
      </c>
      <c r="E15" s="8" t="s">
        <v>13</v>
      </c>
      <c r="F15" s="8" t="s">
        <v>14</v>
      </c>
      <c r="G15" s="8" t="s">
        <v>12</v>
      </c>
      <c r="H15" s="28" t="s">
        <v>15</v>
      </c>
      <c r="I15" s="31"/>
      <c r="J15" s="8" t="s">
        <v>16</v>
      </c>
      <c r="K15" s="8" t="s">
        <v>17</v>
      </c>
      <c r="L15" s="8" t="s">
        <v>13</v>
      </c>
      <c r="M15" s="8" t="s">
        <v>14</v>
      </c>
      <c r="N15" s="8" t="s">
        <v>12</v>
      </c>
      <c r="O15" s="28" t="s">
        <v>15</v>
      </c>
      <c r="P15" s="31"/>
      <c r="Q15" s="8" t="s">
        <v>16</v>
      </c>
      <c r="R15" s="8" t="s">
        <v>17</v>
      </c>
      <c r="S15" s="8" t="s">
        <v>13</v>
      </c>
      <c r="T15" s="8" t="s">
        <v>14</v>
      </c>
      <c r="U15" s="8" t="s">
        <v>12</v>
      </c>
      <c r="V15" s="10" t="s">
        <v>15</v>
      </c>
    </row>
    <row r="16" spans="1:22" ht="15.75" thickBot="1" x14ac:dyDescent="0.3">
      <c r="A16" s="23">
        <f>E7</f>
        <v>5000</v>
      </c>
      <c r="B16" s="18"/>
      <c r="C16" s="18"/>
      <c r="D16" s="5">
        <v>1</v>
      </c>
      <c r="E16" s="5">
        <v>70</v>
      </c>
      <c r="F16" s="5">
        <v>50</v>
      </c>
      <c r="G16" s="5">
        <f>(E16*F16)/10000</f>
        <v>0.35</v>
      </c>
      <c r="H16" s="29">
        <f>G16*D16*A16</f>
        <v>1750</v>
      </c>
      <c r="I16" s="37"/>
      <c r="J16" s="18">
        <v>1050</v>
      </c>
      <c r="K16" s="5">
        <v>1</v>
      </c>
      <c r="L16" s="5">
        <v>40</v>
      </c>
      <c r="M16" s="5">
        <v>35</v>
      </c>
      <c r="N16" s="5">
        <f>(L16*M16)/10000</f>
        <v>0.14000000000000001</v>
      </c>
      <c r="O16" s="29">
        <f>N16*K16*J16</f>
        <v>147</v>
      </c>
      <c r="P16" s="37"/>
      <c r="Q16" s="18">
        <v>1050</v>
      </c>
      <c r="R16" s="5">
        <v>1</v>
      </c>
      <c r="S16" s="5">
        <v>40</v>
      </c>
      <c r="T16" s="5">
        <v>35</v>
      </c>
      <c r="U16" s="5">
        <f>(S16*T16)/10000</f>
        <v>0.14000000000000001</v>
      </c>
      <c r="V16" s="21">
        <f>U16*R16*Q16</f>
        <v>147</v>
      </c>
    </row>
    <row r="17" spans="1:22" x14ac:dyDescent="0.25">
      <c r="G17" s="1"/>
      <c r="N17" s="1"/>
      <c r="U17" s="1"/>
    </row>
    <row r="18" spans="1:22" x14ac:dyDescent="0.25">
      <c r="A18" s="15" t="s">
        <v>1</v>
      </c>
      <c r="B18" s="15"/>
      <c r="C18" s="15"/>
      <c r="D18" s="15" t="s">
        <v>4</v>
      </c>
      <c r="E18" s="15" t="s">
        <v>8</v>
      </c>
      <c r="F18" s="15" t="s">
        <v>9</v>
      </c>
      <c r="J18" s="15" t="s">
        <v>1</v>
      </c>
      <c r="K18" s="15" t="s">
        <v>4</v>
      </c>
      <c r="L18" s="15" t="s">
        <v>8</v>
      </c>
      <c r="M18" s="15" t="s">
        <v>9</v>
      </c>
      <c r="Q18" s="15" t="s">
        <v>1</v>
      </c>
      <c r="R18" s="15" t="s">
        <v>4</v>
      </c>
      <c r="S18" s="15" t="s">
        <v>8</v>
      </c>
      <c r="T18" s="15" t="s">
        <v>9</v>
      </c>
    </row>
    <row r="19" spans="1:22" x14ac:dyDescent="0.25">
      <c r="A19" s="11" t="s">
        <v>79</v>
      </c>
      <c r="B19" s="11"/>
      <c r="C19" s="11"/>
      <c r="D19" s="20">
        <f>H7</f>
        <v>1700</v>
      </c>
      <c r="E19" s="2">
        <v>750</v>
      </c>
      <c r="F19" s="2">
        <f>D19*E19</f>
        <v>1275000</v>
      </c>
      <c r="J19" s="11" t="s">
        <v>0</v>
      </c>
      <c r="K19" s="20">
        <f>O7</f>
        <v>90</v>
      </c>
      <c r="L19" s="2">
        <v>250</v>
      </c>
      <c r="M19" s="2">
        <f>K19*L19</f>
        <v>22500</v>
      </c>
      <c r="Q19" s="11" t="s">
        <v>0</v>
      </c>
      <c r="R19" s="20">
        <f>V7</f>
        <v>1047.9166666666667</v>
      </c>
      <c r="S19" s="2">
        <v>162</v>
      </c>
      <c r="T19" s="2">
        <f t="shared" ref="T19:T24" si="0">R19*S19</f>
        <v>169762.5</v>
      </c>
    </row>
    <row r="20" spans="1:22" x14ac:dyDescent="0.25">
      <c r="A20" s="11" t="s">
        <v>44</v>
      </c>
      <c r="B20" s="11"/>
      <c r="C20" s="11"/>
      <c r="D20" s="20">
        <f>H10</f>
        <v>1650</v>
      </c>
      <c r="E20" s="2">
        <v>0</v>
      </c>
      <c r="F20" s="2">
        <f t="shared" ref="F20:F39" si="1">D20*E20</f>
        <v>0</v>
      </c>
      <c r="J20" s="11" t="s">
        <v>44</v>
      </c>
      <c r="K20" s="20">
        <f>O10</f>
        <v>137.5</v>
      </c>
      <c r="L20" s="2">
        <v>0</v>
      </c>
      <c r="M20" s="2">
        <f t="shared" ref="M20:M39" si="2">K20*L20</f>
        <v>0</v>
      </c>
      <c r="Q20" s="11" t="s">
        <v>44</v>
      </c>
      <c r="R20" s="20">
        <f>V10</f>
        <v>137.5</v>
      </c>
      <c r="S20" s="2">
        <v>0</v>
      </c>
      <c r="T20" s="2">
        <f t="shared" si="0"/>
        <v>0</v>
      </c>
    </row>
    <row r="21" spans="1:22" x14ac:dyDescent="0.25">
      <c r="A21" s="11" t="s">
        <v>48</v>
      </c>
      <c r="B21" s="11"/>
      <c r="C21" s="11"/>
      <c r="D21" s="20">
        <f>H13</f>
        <v>1275</v>
      </c>
      <c r="E21" s="2"/>
      <c r="F21" s="2">
        <f t="shared" si="1"/>
        <v>0</v>
      </c>
      <c r="J21" s="11" t="s">
        <v>48</v>
      </c>
      <c r="K21" s="20">
        <f>O13</f>
        <v>6.28125</v>
      </c>
      <c r="L21" s="2">
        <v>0</v>
      </c>
      <c r="M21" s="2">
        <f t="shared" si="2"/>
        <v>0</v>
      </c>
      <c r="Q21" s="11" t="s">
        <v>48</v>
      </c>
      <c r="R21" s="20">
        <f>V13</f>
        <v>6.28125</v>
      </c>
      <c r="S21" s="2"/>
      <c r="T21" s="2">
        <f t="shared" si="0"/>
        <v>0</v>
      </c>
    </row>
    <row r="22" spans="1:22" x14ac:dyDescent="0.25">
      <c r="A22" s="11" t="s">
        <v>43</v>
      </c>
      <c r="B22" s="11"/>
      <c r="C22" s="11"/>
      <c r="D22">
        <v>0</v>
      </c>
      <c r="E22" s="2">
        <v>13000</v>
      </c>
      <c r="F22" s="2">
        <f t="shared" si="1"/>
        <v>0</v>
      </c>
      <c r="H22" s="8"/>
      <c r="I22" s="30"/>
      <c r="J22" s="11" t="s">
        <v>43</v>
      </c>
      <c r="K22">
        <v>1</v>
      </c>
      <c r="L22" s="2">
        <v>2500</v>
      </c>
      <c r="M22" s="2">
        <f t="shared" si="2"/>
        <v>2500</v>
      </c>
      <c r="O22" s="8"/>
      <c r="P22" s="30"/>
      <c r="Q22" s="11" t="s">
        <v>43</v>
      </c>
      <c r="R22">
        <v>1</v>
      </c>
      <c r="S22" s="2">
        <v>35000</v>
      </c>
      <c r="T22" s="2">
        <f t="shared" si="0"/>
        <v>35000</v>
      </c>
      <c r="V22" s="8"/>
    </row>
    <row r="23" spans="1:22" x14ac:dyDescent="0.25">
      <c r="A23" s="11" t="s">
        <v>49</v>
      </c>
      <c r="B23" s="11"/>
      <c r="C23" s="11"/>
      <c r="D23">
        <v>0</v>
      </c>
      <c r="E23" s="2">
        <v>20000</v>
      </c>
      <c r="F23" s="2">
        <f t="shared" si="1"/>
        <v>0</v>
      </c>
      <c r="H23" s="8"/>
      <c r="I23" s="30"/>
      <c r="J23" s="11" t="s">
        <v>49</v>
      </c>
      <c r="K23">
        <v>1</v>
      </c>
      <c r="L23" s="2">
        <v>7000</v>
      </c>
      <c r="M23" s="2">
        <f t="shared" si="2"/>
        <v>7000</v>
      </c>
      <c r="O23" s="8">
        <f>12.5*2</f>
        <v>25</v>
      </c>
      <c r="P23" s="30"/>
      <c r="Q23" s="11" t="s">
        <v>49</v>
      </c>
      <c r="R23">
        <v>1</v>
      </c>
      <c r="S23" s="2">
        <v>11000</v>
      </c>
      <c r="T23" s="2">
        <f t="shared" si="0"/>
        <v>11000</v>
      </c>
      <c r="V23" s="8">
        <f>100*1000</f>
        <v>100000</v>
      </c>
    </row>
    <row r="24" spans="1:22" x14ac:dyDescent="0.25">
      <c r="A24" s="11" t="s">
        <v>45</v>
      </c>
      <c r="B24" s="11"/>
      <c r="C24" s="11"/>
      <c r="D24">
        <v>5</v>
      </c>
      <c r="E24" s="2">
        <v>50000</v>
      </c>
      <c r="F24" s="2">
        <f t="shared" si="1"/>
        <v>250000</v>
      </c>
      <c r="H24" s="3"/>
      <c r="J24" s="11" t="s">
        <v>45</v>
      </c>
      <c r="K24">
        <v>2</v>
      </c>
      <c r="L24" s="2">
        <v>0</v>
      </c>
      <c r="M24" s="2">
        <f t="shared" si="2"/>
        <v>0</v>
      </c>
      <c r="O24" s="3"/>
      <c r="Q24" s="11" t="s">
        <v>45</v>
      </c>
      <c r="R24">
        <v>2</v>
      </c>
      <c r="S24" s="2">
        <v>0</v>
      </c>
      <c r="T24" s="2">
        <f t="shared" si="0"/>
        <v>0</v>
      </c>
      <c r="V24" s="3"/>
    </row>
    <row r="25" spans="1:22" x14ac:dyDescent="0.25">
      <c r="A25" s="11" t="s">
        <v>46</v>
      </c>
      <c r="B25" s="11"/>
      <c r="C25" s="11"/>
      <c r="E25" s="2">
        <v>320000</v>
      </c>
      <c r="F25" s="2">
        <f t="shared" si="1"/>
        <v>0</v>
      </c>
      <c r="H25" s="3"/>
      <c r="J25" s="11" t="s">
        <v>46</v>
      </c>
      <c r="K25">
        <v>0</v>
      </c>
      <c r="L25" s="2">
        <v>30000</v>
      </c>
      <c r="M25" s="2">
        <f t="shared" si="2"/>
        <v>0</v>
      </c>
      <c r="O25" s="3"/>
      <c r="Q25" s="11" t="s">
        <v>46</v>
      </c>
      <c r="R25">
        <v>17</v>
      </c>
      <c r="S25" s="2">
        <v>6000</v>
      </c>
      <c r="T25" s="2">
        <f t="shared" ref="T25:T39" si="3">R25*S25</f>
        <v>102000</v>
      </c>
      <c r="V25" s="3"/>
    </row>
    <row r="26" spans="1:22" x14ac:dyDescent="0.25">
      <c r="A26" s="11" t="s">
        <v>47</v>
      </c>
      <c r="B26" s="11"/>
      <c r="C26" s="11"/>
      <c r="E26" s="2">
        <v>45000</v>
      </c>
      <c r="F26" s="2">
        <f t="shared" si="1"/>
        <v>0</v>
      </c>
      <c r="H26" s="3"/>
      <c r="J26" s="11" t="s">
        <v>47</v>
      </c>
      <c r="L26" s="2">
        <v>140</v>
      </c>
      <c r="M26" s="2">
        <f t="shared" si="2"/>
        <v>0</v>
      </c>
      <c r="O26" s="3"/>
      <c r="Q26" s="11" t="s">
        <v>47</v>
      </c>
      <c r="S26" s="2">
        <v>140</v>
      </c>
      <c r="T26" s="2">
        <f t="shared" si="3"/>
        <v>0</v>
      </c>
      <c r="V26" s="3"/>
    </row>
    <row r="27" spans="1:22" x14ac:dyDescent="0.25">
      <c r="A27" s="11" t="s">
        <v>50</v>
      </c>
      <c r="B27" s="11"/>
      <c r="C27" s="11"/>
      <c r="E27" s="2">
        <v>23000</v>
      </c>
      <c r="F27" s="2">
        <f t="shared" si="1"/>
        <v>0</v>
      </c>
      <c r="H27" s="3"/>
      <c r="J27" s="11" t="s">
        <v>50</v>
      </c>
      <c r="L27" s="2">
        <v>23000</v>
      </c>
      <c r="M27" s="2">
        <f t="shared" si="2"/>
        <v>0</v>
      </c>
      <c r="O27" s="3"/>
      <c r="Q27" s="11" t="s">
        <v>50</v>
      </c>
      <c r="S27" s="2">
        <v>23000</v>
      </c>
      <c r="T27" s="2">
        <f t="shared" si="3"/>
        <v>0</v>
      </c>
      <c r="V27" s="3"/>
    </row>
    <row r="28" spans="1:22" x14ac:dyDescent="0.25">
      <c r="A28" s="11" t="s">
        <v>75</v>
      </c>
      <c r="B28" s="11"/>
      <c r="C28" s="11"/>
      <c r="E28" s="2">
        <v>10</v>
      </c>
      <c r="F28" s="2">
        <f t="shared" si="1"/>
        <v>0</v>
      </c>
      <c r="J28" s="11" t="s">
        <v>19</v>
      </c>
      <c r="L28" s="2">
        <v>25000</v>
      </c>
      <c r="M28" s="2">
        <f t="shared" si="2"/>
        <v>0</v>
      </c>
      <c r="Q28" s="11" t="s">
        <v>19</v>
      </c>
      <c r="S28" s="2">
        <v>25000</v>
      </c>
      <c r="T28" s="2">
        <f t="shared" si="3"/>
        <v>0</v>
      </c>
    </row>
    <row r="29" spans="1:22" x14ac:dyDescent="0.25">
      <c r="A29" s="11" t="s">
        <v>21</v>
      </c>
      <c r="B29" s="11"/>
      <c r="C29" s="11"/>
      <c r="D29">
        <v>0</v>
      </c>
      <c r="E29" s="2">
        <v>40000</v>
      </c>
      <c r="F29" s="2">
        <f t="shared" si="1"/>
        <v>0</v>
      </c>
      <c r="J29" s="11" t="s">
        <v>21</v>
      </c>
      <c r="K29">
        <v>0</v>
      </c>
      <c r="L29" s="2">
        <v>40000</v>
      </c>
      <c r="M29" s="2">
        <f t="shared" si="2"/>
        <v>0</v>
      </c>
      <c r="Q29" s="11" t="s">
        <v>21</v>
      </c>
      <c r="S29" s="2">
        <v>40000</v>
      </c>
      <c r="T29" s="2">
        <f t="shared" si="3"/>
        <v>0</v>
      </c>
    </row>
    <row r="30" spans="1:22" x14ac:dyDescent="0.25">
      <c r="A30" s="11" t="s">
        <v>20</v>
      </c>
      <c r="B30" s="11"/>
      <c r="C30" s="11"/>
      <c r="D30">
        <v>5</v>
      </c>
      <c r="E30" s="2">
        <v>40000</v>
      </c>
      <c r="F30" s="2">
        <f t="shared" si="1"/>
        <v>200000</v>
      </c>
      <c r="J30" s="11" t="s">
        <v>20</v>
      </c>
      <c r="K30">
        <v>0</v>
      </c>
      <c r="L30" s="2">
        <v>15000</v>
      </c>
      <c r="M30" s="2">
        <f t="shared" si="2"/>
        <v>0</v>
      </c>
      <c r="Q30" s="11" t="s">
        <v>20</v>
      </c>
      <c r="R30">
        <v>9</v>
      </c>
      <c r="S30" s="2"/>
      <c r="T30" s="2">
        <f t="shared" si="3"/>
        <v>0</v>
      </c>
    </row>
    <row r="31" spans="1:22" x14ac:dyDescent="0.25">
      <c r="A31" s="11" t="s">
        <v>22</v>
      </c>
      <c r="B31" s="11"/>
      <c r="C31" s="11"/>
      <c r="D31">
        <f>IF(H16&lt;160,160,H16)</f>
        <v>1750</v>
      </c>
      <c r="E31" s="2">
        <v>450</v>
      </c>
      <c r="F31" s="2">
        <f t="shared" si="1"/>
        <v>787500</v>
      </c>
      <c r="H31">
        <v>4859</v>
      </c>
      <c r="J31" s="11" t="s">
        <v>22</v>
      </c>
      <c r="K31">
        <f>IF(O16&lt;160,160,O16)</f>
        <v>160</v>
      </c>
      <c r="L31" s="2">
        <v>250</v>
      </c>
      <c r="M31" s="2">
        <f t="shared" si="2"/>
        <v>40000</v>
      </c>
      <c r="Q31" s="11" t="s">
        <v>22</v>
      </c>
      <c r="R31">
        <f>IF(V16&lt;160,160,V16)</f>
        <v>160</v>
      </c>
      <c r="S31" s="2">
        <v>250</v>
      </c>
      <c r="T31" s="2">
        <f t="shared" si="3"/>
        <v>40000</v>
      </c>
    </row>
    <row r="32" spans="1:22" x14ac:dyDescent="0.25">
      <c r="A32" s="11" t="s">
        <v>24</v>
      </c>
      <c r="B32" s="11"/>
      <c r="C32" s="11"/>
      <c r="D32">
        <v>1</v>
      </c>
      <c r="E32" s="2">
        <v>40000</v>
      </c>
      <c r="F32" s="2">
        <f t="shared" si="1"/>
        <v>40000</v>
      </c>
      <c r="J32" s="11" t="s">
        <v>24</v>
      </c>
      <c r="K32">
        <v>1</v>
      </c>
      <c r="L32" s="2">
        <v>40000</v>
      </c>
      <c r="M32" s="2">
        <f t="shared" si="2"/>
        <v>40000</v>
      </c>
      <c r="Q32" s="11" t="s">
        <v>24</v>
      </c>
      <c r="R32">
        <v>1</v>
      </c>
      <c r="S32" s="2">
        <v>40000</v>
      </c>
      <c r="T32" s="2">
        <f t="shared" si="3"/>
        <v>40000</v>
      </c>
    </row>
    <row r="33" spans="1:23" x14ac:dyDescent="0.25">
      <c r="A33" s="11" t="s">
        <v>23</v>
      </c>
      <c r="B33" s="11"/>
      <c r="C33" s="11"/>
      <c r="D33">
        <f>IF(H16&lt;146,146,H16)</f>
        <v>1750</v>
      </c>
      <c r="E33" s="2">
        <v>275</v>
      </c>
      <c r="F33" s="2">
        <f t="shared" si="1"/>
        <v>481250</v>
      </c>
      <c r="H33">
        <f>4708000-2904000</f>
        <v>1804000</v>
      </c>
      <c r="J33" s="11" t="s">
        <v>23</v>
      </c>
      <c r="K33">
        <f>IF(O16&lt;146,146,O16)</f>
        <v>147</v>
      </c>
      <c r="L33" s="2">
        <v>275</v>
      </c>
      <c r="M33" s="2">
        <f t="shared" si="2"/>
        <v>40425</v>
      </c>
      <c r="Q33" s="11" t="s">
        <v>23</v>
      </c>
      <c r="R33">
        <f>IF(V16&lt;146,146,V16)</f>
        <v>147</v>
      </c>
      <c r="S33" s="2">
        <v>275</v>
      </c>
      <c r="T33" s="2">
        <f t="shared" si="3"/>
        <v>40425</v>
      </c>
    </row>
    <row r="34" spans="1:23" x14ac:dyDescent="0.25">
      <c r="A34" s="11" t="s">
        <v>25</v>
      </c>
      <c r="B34" s="11"/>
      <c r="C34" s="11"/>
      <c r="D34">
        <f>IF(H16&lt;110,110,H16)</f>
        <v>1750</v>
      </c>
      <c r="E34" s="2">
        <v>600</v>
      </c>
      <c r="F34" s="2">
        <f t="shared" si="1"/>
        <v>1050000</v>
      </c>
      <c r="J34" s="11" t="s">
        <v>25</v>
      </c>
      <c r="K34">
        <f>IF(O16&lt;110,110,O16)</f>
        <v>147</v>
      </c>
      <c r="L34" s="2">
        <v>720</v>
      </c>
      <c r="M34" s="2">
        <f t="shared" si="2"/>
        <v>105840</v>
      </c>
      <c r="Q34" s="11" t="s">
        <v>25</v>
      </c>
      <c r="R34">
        <f>IF(V16&lt;110,110,V16)</f>
        <v>147</v>
      </c>
      <c r="S34" s="2">
        <v>720</v>
      </c>
      <c r="T34" s="2">
        <f t="shared" si="3"/>
        <v>105840</v>
      </c>
    </row>
    <row r="35" spans="1:23" x14ac:dyDescent="0.25">
      <c r="A35" s="11" t="s">
        <v>38</v>
      </c>
      <c r="B35" s="11" t="s">
        <v>80</v>
      </c>
      <c r="C35" s="11"/>
      <c r="E35" s="2">
        <v>15000</v>
      </c>
      <c r="F35" s="2">
        <f>+E35*D35</f>
        <v>0</v>
      </c>
      <c r="J35" s="11" t="s">
        <v>38</v>
      </c>
      <c r="K35">
        <v>0</v>
      </c>
      <c r="L35" s="2">
        <v>20</v>
      </c>
      <c r="M35" s="2">
        <f t="shared" si="2"/>
        <v>0</v>
      </c>
      <c r="Q35" s="11" t="s">
        <v>38</v>
      </c>
      <c r="R35">
        <v>500</v>
      </c>
      <c r="S35" s="2">
        <v>70</v>
      </c>
      <c r="T35" s="2">
        <f t="shared" si="3"/>
        <v>35000</v>
      </c>
    </row>
    <row r="36" spans="1:23" x14ac:dyDescent="0.25">
      <c r="A36" s="11" t="s">
        <v>26</v>
      </c>
      <c r="B36" s="11"/>
      <c r="C36" s="11"/>
      <c r="D36">
        <v>0</v>
      </c>
      <c r="E36" s="2">
        <v>30000</v>
      </c>
      <c r="F36" s="2">
        <f t="shared" si="1"/>
        <v>0</v>
      </c>
      <c r="H36">
        <f>5228000-2904000</f>
        <v>2324000</v>
      </c>
      <c r="J36" s="11" t="s">
        <v>26</v>
      </c>
      <c r="K36">
        <v>1</v>
      </c>
      <c r="L36" s="2">
        <v>3000</v>
      </c>
      <c r="M36" s="2">
        <f t="shared" si="2"/>
        <v>3000</v>
      </c>
      <c r="Q36" s="11" t="s">
        <v>26</v>
      </c>
      <c r="S36" s="2">
        <v>3000</v>
      </c>
      <c r="T36" s="2">
        <f t="shared" si="3"/>
        <v>0</v>
      </c>
    </row>
    <row r="37" spans="1:23" x14ac:dyDescent="0.25">
      <c r="A37" s="11" t="s">
        <v>36</v>
      </c>
      <c r="B37" s="11"/>
      <c r="C37" s="11"/>
      <c r="D37">
        <v>0</v>
      </c>
      <c r="E37" s="2">
        <v>70000</v>
      </c>
      <c r="F37" s="2">
        <f t="shared" si="1"/>
        <v>0</v>
      </c>
      <c r="J37" s="11" t="s">
        <v>36</v>
      </c>
      <c r="L37" s="2">
        <v>800</v>
      </c>
      <c r="M37" s="2">
        <f t="shared" si="2"/>
        <v>0</v>
      </c>
      <c r="Q37" s="11" t="s">
        <v>36</v>
      </c>
      <c r="S37" s="2">
        <v>800</v>
      </c>
      <c r="T37" s="2">
        <f t="shared" si="3"/>
        <v>0</v>
      </c>
    </row>
    <row r="38" spans="1:23" x14ac:dyDescent="0.25">
      <c r="A38" s="11" t="s">
        <v>27</v>
      </c>
      <c r="B38" s="11"/>
      <c r="C38" s="11"/>
      <c r="E38" s="2">
        <v>70000</v>
      </c>
      <c r="F38" s="2">
        <f t="shared" si="1"/>
        <v>0</v>
      </c>
      <c r="J38" s="11" t="s">
        <v>27</v>
      </c>
      <c r="L38" s="2">
        <v>70000</v>
      </c>
      <c r="M38" s="2">
        <f t="shared" si="2"/>
        <v>0</v>
      </c>
      <c r="Q38" s="11" t="s">
        <v>27</v>
      </c>
      <c r="S38" s="2">
        <v>70000</v>
      </c>
      <c r="T38" s="2">
        <f t="shared" si="3"/>
        <v>0</v>
      </c>
    </row>
    <row r="39" spans="1:23" x14ac:dyDescent="0.25">
      <c r="A39" s="11" t="s">
        <v>28</v>
      </c>
      <c r="B39" s="11"/>
      <c r="C39" s="11"/>
      <c r="E39" s="2"/>
      <c r="F39" s="2">
        <f t="shared" si="1"/>
        <v>0</v>
      </c>
      <c r="H39">
        <f>+H41/300</f>
        <v>8375</v>
      </c>
      <c r="I39" s="32">
        <f>5000*1190</f>
        <v>5950000</v>
      </c>
      <c r="J39" s="11" t="s">
        <v>28</v>
      </c>
      <c r="L39" s="2"/>
      <c r="M39" s="2">
        <f t="shared" si="2"/>
        <v>0</v>
      </c>
      <c r="Q39" s="11" t="s">
        <v>28</v>
      </c>
      <c r="S39" s="2"/>
      <c r="T39" s="2">
        <f t="shared" si="3"/>
        <v>0</v>
      </c>
    </row>
    <row r="40" spans="1:23" x14ac:dyDescent="0.25">
      <c r="A40" s="12" t="s">
        <v>29</v>
      </c>
      <c r="B40" s="12"/>
      <c r="C40" s="12"/>
      <c r="D40" s="13"/>
      <c r="E40" s="13"/>
      <c r="F40" s="14">
        <f>SUM(F19:F30,F35:F39)</f>
        <v>1725000</v>
      </c>
      <c r="H40" s="22">
        <f>F40*$B$2*$B$1</f>
        <v>1725000</v>
      </c>
      <c r="I40" s="38">
        <f>+H40/$A$7</f>
        <v>172.5</v>
      </c>
      <c r="J40" s="12" t="s">
        <v>29</v>
      </c>
      <c r="K40" s="13"/>
      <c r="L40" s="13"/>
      <c r="M40" s="14">
        <f>SUM(M19:M30,M35:M39)</f>
        <v>35000</v>
      </c>
      <c r="O40" s="22">
        <f>M40*2</f>
        <v>70000</v>
      </c>
      <c r="P40" s="38"/>
      <c r="Q40" s="12" t="s">
        <v>29</v>
      </c>
      <c r="R40" s="13"/>
      <c r="S40" s="13"/>
      <c r="T40" s="14">
        <f>SUM(T19:T30,T35:T39)</f>
        <v>352762.5</v>
      </c>
      <c r="V40" s="22">
        <f>T40*2</f>
        <v>705525</v>
      </c>
      <c r="W40" s="22">
        <f>+V40/5</f>
        <v>141105</v>
      </c>
    </row>
    <row r="41" spans="1:23" x14ac:dyDescent="0.25">
      <c r="A41" s="12" t="s">
        <v>31</v>
      </c>
      <c r="B41" s="12"/>
      <c r="C41" s="12"/>
      <c r="D41" s="13"/>
      <c r="E41" s="13"/>
      <c r="F41" s="14">
        <f>SUM(F19:F31,F35:F39)</f>
        <v>2512500</v>
      </c>
      <c r="H41" s="22">
        <f>F41*$B$2*$B$1</f>
        <v>2512500</v>
      </c>
      <c r="I41" s="38">
        <f>+H41/$A$7</f>
        <v>251.25</v>
      </c>
      <c r="J41" s="12" t="s">
        <v>31</v>
      </c>
      <c r="K41" s="13"/>
      <c r="L41" s="13"/>
      <c r="M41" s="14">
        <f>SUM(M19:M31,M35:M39)</f>
        <v>75000</v>
      </c>
      <c r="O41" s="22">
        <f>M41*2</f>
        <v>150000</v>
      </c>
      <c r="P41" s="38"/>
      <c r="Q41" s="12" t="s">
        <v>31</v>
      </c>
      <c r="R41" s="13"/>
      <c r="S41" s="13"/>
      <c r="T41" s="14">
        <f>SUM(T19:T31,T35:T39)</f>
        <v>392762.5</v>
      </c>
      <c r="V41" s="22">
        <f>T41*2</f>
        <v>785525</v>
      </c>
    </row>
    <row r="42" spans="1:23" x14ac:dyDescent="0.25">
      <c r="A42" s="12" t="s">
        <v>32</v>
      </c>
      <c r="B42" s="12"/>
      <c r="C42" s="12"/>
      <c r="D42" s="13"/>
      <c r="E42" s="13"/>
      <c r="F42" s="14">
        <f>SUM(F19:F30,F32:F33,F35:F39)</f>
        <v>2246250</v>
      </c>
      <c r="H42" s="22">
        <f>F42*$B$2*$B$1</f>
        <v>2246250</v>
      </c>
      <c r="I42" s="38">
        <f>+H42/$A$7</f>
        <v>224.625</v>
      </c>
      <c r="J42" s="12" t="s">
        <v>32</v>
      </c>
      <c r="K42" s="13"/>
      <c r="L42" s="13"/>
      <c r="M42" s="14">
        <f>SUM(M19:M30,M32:M33,M35:M39)</f>
        <v>115425</v>
      </c>
      <c r="O42" s="22">
        <f>M42*2</f>
        <v>230850</v>
      </c>
      <c r="P42" s="38"/>
      <c r="Q42" s="12" t="s">
        <v>32</v>
      </c>
      <c r="R42" s="13"/>
      <c r="S42" s="13"/>
      <c r="T42" s="14">
        <f>SUM(T19:T30,T32:T33,T35:T39)</f>
        <v>433187.5</v>
      </c>
      <c r="V42" s="22">
        <f>T42*2</f>
        <v>866375</v>
      </c>
    </row>
    <row r="43" spans="1:23" x14ac:dyDescent="0.25">
      <c r="A43" s="12" t="s">
        <v>30</v>
      </c>
      <c r="B43" s="12"/>
      <c r="C43" s="12"/>
      <c r="D43" s="13"/>
      <c r="E43" s="13"/>
      <c r="F43" s="14">
        <f>SUM(F19:F30,F34:F39)</f>
        <v>2775000</v>
      </c>
      <c r="H43" s="22">
        <f>F43*$B$2*$B$1</f>
        <v>2775000</v>
      </c>
      <c r="I43" s="38">
        <f>+H43/$A$7</f>
        <v>277.5</v>
      </c>
      <c r="J43" s="12" t="s">
        <v>30</v>
      </c>
      <c r="K43" s="13"/>
      <c r="L43" s="13"/>
      <c r="M43" s="14">
        <f>SUM(M19:M30,M34:M39)</f>
        <v>140840</v>
      </c>
      <c r="O43" s="22">
        <f>M43*1.8</f>
        <v>253512</v>
      </c>
      <c r="P43" s="38"/>
      <c r="Q43" s="12" t="s">
        <v>30</v>
      </c>
      <c r="R43" s="13"/>
      <c r="S43" s="13"/>
      <c r="T43" s="14">
        <f>SUM(T19:T30,T34:T39)</f>
        <v>458602.5</v>
      </c>
      <c r="V43" s="22">
        <f>T43*1.8</f>
        <v>825484.5</v>
      </c>
    </row>
    <row r="44" spans="1:23" x14ac:dyDescent="0.25">
      <c r="A44" s="12" t="s">
        <v>33</v>
      </c>
      <c r="B44" s="12"/>
      <c r="C44" s="12"/>
      <c r="D44" s="13"/>
      <c r="E44" s="13"/>
      <c r="F44" s="14">
        <f>SUM(F19:F30,F32:F39)</f>
        <v>3296250</v>
      </c>
      <c r="H44" s="22">
        <f>F44*$B$2*$B$1</f>
        <v>3296250</v>
      </c>
      <c r="I44" s="38">
        <f>+H44/$A$7</f>
        <v>329.625</v>
      </c>
      <c r="J44" s="12" t="s">
        <v>33</v>
      </c>
      <c r="K44" s="13"/>
      <c r="L44" s="13"/>
      <c r="M44" s="14">
        <f>SUM(M19:M30,M32:M39)</f>
        <v>221265</v>
      </c>
      <c r="O44" s="22">
        <f>M44*1.8</f>
        <v>398277</v>
      </c>
      <c r="P44" s="38"/>
      <c r="Q44" s="12" t="s">
        <v>33</v>
      </c>
      <c r="R44" s="13"/>
      <c r="S44" s="13"/>
      <c r="T44" s="14">
        <f>SUM(T19:T30,T32:T39)</f>
        <v>539027.5</v>
      </c>
      <c r="V44" s="22">
        <f>T44*1.8</f>
        <v>970249.5</v>
      </c>
    </row>
    <row r="46" spans="1:23" x14ac:dyDescent="0.25">
      <c r="J46" s="42"/>
    </row>
    <row r="47" spans="1:23" ht="21" x14ac:dyDescent="0.35">
      <c r="A47" s="16" t="s">
        <v>34</v>
      </c>
      <c r="B47" s="16"/>
      <c r="C47" s="16"/>
      <c r="D47" s="17"/>
      <c r="E47" s="17"/>
      <c r="F47" s="17"/>
      <c r="G47" s="17"/>
      <c r="H47" s="17"/>
      <c r="I47" s="33">
        <v>0.52</v>
      </c>
      <c r="J47" s="16" t="s">
        <v>34</v>
      </c>
      <c r="K47" s="17"/>
      <c r="L47" s="17"/>
      <c r="M47" s="17"/>
      <c r="N47" s="17"/>
      <c r="O47" s="17"/>
      <c r="P47" s="33"/>
      <c r="Q47" s="16" t="s">
        <v>34</v>
      </c>
      <c r="R47" s="17"/>
      <c r="S47" s="17"/>
      <c r="T47" s="17"/>
      <c r="U47" s="17"/>
      <c r="V47" s="17"/>
    </row>
    <row r="48" spans="1:23" ht="16.5" thickBot="1" x14ac:dyDescent="0.3">
      <c r="A48" s="46" t="s">
        <v>76</v>
      </c>
      <c r="B48" s="46"/>
      <c r="C48" s="46"/>
      <c r="D48" s="46"/>
      <c r="E48" s="46"/>
      <c r="F48" s="46"/>
      <c r="G48" s="46"/>
      <c r="H48" s="46"/>
      <c r="I48" s="34"/>
      <c r="J48" s="46" t="s">
        <v>39</v>
      </c>
      <c r="K48" s="46"/>
      <c r="L48" s="46"/>
      <c r="M48" s="46"/>
      <c r="N48" s="46"/>
      <c r="O48" s="46"/>
      <c r="P48" s="34"/>
      <c r="Q48" s="46" t="s">
        <v>39</v>
      </c>
      <c r="R48" s="46"/>
      <c r="S48" s="46"/>
      <c r="T48" s="46"/>
      <c r="U48" s="46"/>
      <c r="V48" s="46"/>
    </row>
    <row r="49" spans="1:22" ht="15.75" x14ac:dyDescent="0.25">
      <c r="A49" s="43" t="s">
        <v>10</v>
      </c>
      <c r="B49" s="44"/>
      <c r="C49" s="44"/>
      <c r="D49" s="44"/>
      <c r="E49" s="44"/>
      <c r="F49" s="44"/>
      <c r="G49" s="44"/>
      <c r="H49" s="45"/>
      <c r="I49" s="35"/>
      <c r="J49" s="43" t="s">
        <v>10</v>
      </c>
      <c r="K49" s="44"/>
      <c r="L49" s="44"/>
      <c r="M49" s="44"/>
      <c r="N49" s="44"/>
      <c r="O49" s="45"/>
      <c r="P49" s="35"/>
      <c r="Q49" s="43" t="s">
        <v>10</v>
      </c>
      <c r="R49" s="44"/>
      <c r="S49" s="44"/>
      <c r="T49" s="44"/>
      <c r="U49" s="44"/>
      <c r="V49" s="45"/>
    </row>
    <row r="50" spans="1:22" x14ac:dyDescent="0.25">
      <c r="A50" s="7" t="s">
        <v>4</v>
      </c>
      <c r="B50" s="8" t="s">
        <v>77</v>
      </c>
      <c r="C50" s="8" t="s">
        <v>78</v>
      </c>
      <c r="D50" s="8" t="s">
        <v>5</v>
      </c>
      <c r="E50" s="8" t="s">
        <v>6</v>
      </c>
      <c r="F50" s="8" t="s">
        <v>7</v>
      </c>
      <c r="G50" s="8" t="s">
        <v>35</v>
      </c>
      <c r="H50" s="8" t="s">
        <v>3</v>
      </c>
      <c r="I50" s="30"/>
      <c r="J50" s="8" t="s">
        <v>4</v>
      </c>
      <c r="K50" s="8" t="s">
        <v>5</v>
      </c>
      <c r="L50" s="8" t="s">
        <v>6</v>
      </c>
      <c r="M50" s="8" t="s">
        <v>7</v>
      </c>
      <c r="N50" s="8" t="s">
        <v>35</v>
      </c>
      <c r="O50" s="8" t="s">
        <v>3</v>
      </c>
      <c r="P50" s="30"/>
      <c r="Q50" s="8" t="s">
        <v>4</v>
      </c>
      <c r="R50" s="8" t="s">
        <v>5</v>
      </c>
      <c r="S50" s="8" t="s">
        <v>6</v>
      </c>
      <c r="T50" s="8" t="s">
        <v>7</v>
      </c>
      <c r="U50" s="8" t="s">
        <v>35</v>
      </c>
      <c r="V50" s="9" t="s">
        <v>3</v>
      </c>
    </row>
    <row r="51" spans="1:22" ht="15.75" thickBot="1" x14ac:dyDescent="0.3">
      <c r="A51" s="4">
        <v>1000</v>
      </c>
      <c r="B51" s="5">
        <v>1</v>
      </c>
      <c r="C51" s="5">
        <f>A51*B51</f>
        <v>1000</v>
      </c>
      <c r="D51" s="5">
        <v>1</v>
      </c>
      <c r="E51" s="18">
        <f>C51/D51</f>
        <v>1000</v>
      </c>
      <c r="F51" s="5">
        <v>100</v>
      </c>
      <c r="G51" s="6">
        <v>4</v>
      </c>
      <c r="H51" s="27">
        <f>(E51+F51)/G51</f>
        <v>275</v>
      </c>
      <c r="I51" s="36"/>
      <c r="J51" s="5">
        <v>6000</v>
      </c>
      <c r="K51" s="5">
        <v>6</v>
      </c>
      <c r="L51" s="18">
        <f>J51/K51</f>
        <v>1000</v>
      </c>
      <c r="M51" s="5">
        <v>100</v>
      </c>
      <c r="N51" s="6">
        <v>20</v>
      </c>
      <c r="O51" s="27">
        <f>(L51+M51)/N51</f>
        <v>55</v>
      </c>
      <c r="P51" s="36"/>
      <c r="Q51" s="5">
        <v>6000</v>
      </c>
      <c r="R51" s="5">
        <v>6</v>
      </c>
      <c r="S51" s="18">
        <f>Q51/R51</f>
        <v>1000</v>
      </c>
      <c r="T51" s="5">
        <v>100</v>
      </c>
      <c r="U51" s="6">
        <v>20</v>
      </c>
      <c r="V51" s="19">
        <f>(S51+T51)/U51</f>
        <v>55</v>
      </c>
    </row>
    <row r="52" spans="1:22" ht="15.75" x14ac:dyDescent="0.25">
      <c r="A52" s="43" t="s">
        <v>10</v>
      </c>
      <c r="B52" s="44"/>
      <c r="C52" s="44"/>
      <c r="D52" s="44"/>
      <c r="E52" s="44"/>
      <c r="F52" s="44"/>
      <c r="G52" s="44"/>
      <c r="H52" s="45"/>
      <c r="I52" s="35"/>
      <c r="J52" s="43" t="s">
        <v>10</v>
      </c>
      <c r="K52" s="44"/>
      <c r="L52" s="44"/>
      <c r="M52" s="44"/>
      <c r="N52" s="44"/>
      <c r="O52" s="45"/>
      <c r="P52" s="35"/>
      <c r="Q52" s="43" t="s">
        <v>10</v>
      </c>
      <c r="R52" s="44"/>
      <c r="S52" s="44"/>
      <c r="T52" s="44"/>
      <c r="U52" s="44"/>
      <c r="V52" s="45"/>
    </row>
    <row r="53" spans="1:22" x14ac:dyDescent="0.25">
      <c r="A53" s="7" t="s">
        <v>4</v>
      </c>
      <c r="B53" s="8"/>
      <c r="C53" s="8"/>
      <c r="D53" s="8" t="s">
        <v>5</v>
      </c>
      <c r="E53" s="8" t="s">
        <v>6</v>
      </c>
      <c r="F53" s="8" t="s">
        <v>7</v>
      </c>
      <c r="G53" s="8" t="s">
        <v>35</v>
      </c>
      <c r="H53" s="8" t="s">
        <v>3</v>
      </c>
      <c r="I53" s="30"/>
      <c r="J53" s="8" t="s">
        <v>4</v>
      </c>
      <c r="K53" s="8" t="s">
        <v>5</v>
      </c>
      <c r="L53" s="8" t="s">
        <v>6</v>
      </c>
      <c r="M53" s="8" t="s">
        <v>7</v>
      </c>
      <c r="N53" s="8" t="s">
        <v>35</v>
      </c>
      <c r="O53" s="8" t="s">
        <v>3</v>
      </c>
      <c r="P53" s="30"/>
      <c r="Q53" s="8" t="s">
        <v>4</v>
      </c>
      <c r="R53" s="8" t="s">
        <v>5</v>
      </c>
      <c r="S53" s="8" t="s">
        <v>6</v>
      </c>
      <c r="T53" s="8" t="s">
        <v>7</v>
      </c>
      <c r="U53" s="8" t="s">
        <v>35</v>
      </c>
      <c r="V53" s="9" t="s">
        <v>3</v>
      </c>
    </row>
    <row r="54" spans="1:22" ht="15.75" thickBot="1" x14ac:dyDescent="0.3">
      <c r="A54" s="4">
        <v>500</v>
      </c>
      <c r="B54" s="5">
        <v>1</v>
      </c>
      <c r="C54" s="5">
        <f>A54*B54</f>
        <v>500</v>
      </c>
      <c r="D54" s="5">
        <v>1</v>
      </c>
      <c r="E54" s="18">
        <f>C54/D54</f>
        <v>500</v>
      </c>
      <c r="F54" s="5">
        <v>100</v>
      </c>
      <c r="G54" s="6">
        <v>4</v>
      </c>
      <c r="H54" s="27">
        <f>(E54+F54)/G54</f>
        <v>150</v>
      </c>
      <c r="I54" s="36"/>
      <c r="J54" s="5"/>
      <c r="K54" s="5">
        <v>1</v>
      </c>
      <c r="L54" s="18">
        <f>J54/K54</f>
        <v>0</v>
      </c>
      <c r="M54" s="5">
        <v>50</v>
      </c>
      <c r="N54" s="6">
        <v>10</v>
      </c>
      <c r="O54" s="27">
        <f>(L54+M54)/N54</f>
        <v>5</v>
      </c>
      <c r="P54" s="36"/>
      <c r="Q54" s="5"/>
      <c r="R54" s="5">
        <v>1</v>
      </c>
      <c r="S54" s="18">
        <f>Q54/R54</f>
        <v>0</v>
      </c>
      <c r="T54" s="5">
        <v>50</v>
      </c>
      <c r="U54" s="6">
        <v>10</v>
      </c>
      <c r="V54" s="19">
        <f>(S54+T54)/U54</f>
        <v>5</v>
      </c>
    </row>
    <row r="55" spans="1:22" ht="15.75" x14ac:dyDescent="0.25">
      <c r="A55" s="43" t="s">
        <v>10</v>
      </c>
      <c r="B55" s="44"/>
      <c r="C55" s="44"/>
      <c r="D55" s="44"/>
      <c r="E55" s="44"/>
      <c r="F55" s="44"/>
      <c r="G55" s="44"/>
      <c r="H55" s="45"/>
      <c r="I55" s="35"/>
      <c r="J55" s="43" t="s">
        <v>11</v>
      </c>
      <c r="K55" s="44"/>
      <c r="L55" s="44"/>
      <c r="M55" s="44"/>
      <c r="N55" s="44"/>
      <c r="O55" s="45"/>
      <c r="P55" s="35"/>
      <c r="Q55" s="43" t="s">
        <v>11</v>
      </c>
      <c r="R55" s="44"/>
      <c r="S55" s="44"/>
      <c r="T55" s="44"/>
      <c r="U55" s="44"/>
      <c r="V55" s="45"/>
    </row>
    <row r="56" spans="1:22" ht="17.25" x14ac:dyDescent="0.25">
      <c r="A56" s="7" t="s">
        <v>4</v>
      </c>
      <c r="B56" s="8"/>
      <c r="C56" s="8"/>
      <c r="D56" s="8" t="s">
        <v>5</v>
      </c>
      <c r="E56" s="8" t="s">
        <v>6</v>
      </c>
      <c r="F56" s="8" t="s">
        <v>7</v>
      </c>
      <c r="G56" s="8" t="s">
        <v>35</v>
      </c>
      <c r="H56" s="8" t="s">
        <v>3</v>
      </c>
      <c r="I56" s="31"/>
      <c r="J56" s="8" t="s">
        <v>16</v>
      </c>
      <c r="K56" s="8" t="s">
        <v>17</v>
      </c>
      <c r="L56" s="8" t="s">
        <v>13</v>
      </c>
      <c r="M56" s="8" t="s">
        <v>14</v>
      </c>
      <c r="N56" s="8" t="s">
        <v>12</v>
      </c>
      <c r="O56" s="28" t="s">
        <v>15</v>
      </c>
      <c r="P56" s="31"/>
      <c r="Q56" s="8" t="s">
        <v>16</v>
      </c>
      <c r="R56" s="8" t="s">
        <v>17</v>
      </c>
      <c r="S56" s="8" t="s">
        <v>13</v>
      </c>
      <c r="T56" s="8" t="s">
        <v>14</v>
      </c>
      <c r="U56" s="8" t="s">
        <v>12</v>
      </c>
      <c r="V56" s="10" t="s">
        <v>15</v>
      </c>
    </row>
    <row r="57" spans="1:22" ht="15.75" thickBot="1" x14ac:dyDescent="0.3">
      <c r="A57" s="4">
        <v>0</v>
      </c>
      <c r="B57" s="5"/>
      <c r="C57" s="5"/>
      <c r="D57" s="5">
        <v>2</v>
      </c>
      <c r="E57" s="18">
        <f>A57/D57</f>
        <v>0</v>
      </c>
      <c r="F57" s="5">
        <v>100</v>
      </c>
      <c r="G57" s="6">
        <v>4</v>
      </c>
      <c r="H57" s="27">
        <f>(E57+F57)/G57</f>
        <v>25</v>
      </c>
      <c r="I57" s="37"/>
      <c r="J57" s="5">
        <v>150</v>
      </c>
      <c r="K57" s="5">
        <v>1</v>
      </c>
      <c r="L57" s="5">
        <v>30</v>
      </c>
      <c r="M57" s="5">
        <v>45</v>
      </c>
      <c r="N57" s="5">
        <f>(L57*M57)/10000</f>
        <v>0.13500000000000001</v>
      </c>
      <c r="O57" s="29">
        <f>N57*K57*J57</f>
        <v>20.25</v>
      </c>
      <c r="P57" s="37"/>
      <c r="Q57" s="5">
        <v>150</v>
      </c>
      <c r="R57" s="5">
        <v>1</v>
      </c>
      <c r="S57" s="5">
        <v>30</v>
      </c>
      <c r="T57" s="5">
        <v>45</v>
      </c>
      <c r="U57" s="5">
        <f>(S57*T57)/10000</f>
        <v>0.13500000000000001</v>
      </c>
      <c r="V57" s="21">
        <f>U57*R57*Q57</f>
        <v>20.25</v>
      </c>
    </row>
    <row r="58" spans="1:22" ht="15.75" x14ac:dyDescent="0.25">
      <c r="A58" s="43" t="s">
        <v>11</v>
      </c>
      <c r="B58" s="44"/>
      <c r="C58" s="44"/>
      <c r="D58" s="44"/>
      <c r="E58" s="44"/>
      <c r="F58" s="44"/>
      <c r="G58" s="44"/>
      <c r="H58" s="45"/>
      <c r="N58" s="1"/>
      <c r="U58" s="1"/>
    </row>
    <row r="59" spans="1:22" ht="17.25" x14ac:dyDescent="0.25">
      <c r="A59" s="7" t="s">
        <v>16</v>
      </c>
      <c r="B59" s="8"/>
      <c r="C59" s="8"/>
      <c r="D59" s="8" t="s">
        <v>17</v>
      </c>
      <c r="E59" s="8" t="s">
        <v>13</v>
      </c>
      <c r="F59" s="8" t="s">
        <v>14</v>
      </c>
      <c r="G59" s="8" t="s">
        <v>12</v>
      </c>
      <c r="H59" s="28" t="s">
        <v>15</v>
      </c>
      <c r="J59" s="15" t="s">
        <v>1</v>
      </c>
      <c r="K59" s="15" t="s">
        <v>4</v>
      </c>
      <c r="L59" s="15" t="s">
        <v>8</v>
      </c>
      <c r="M59" s="15" t="s">
        <v>9</v>
      </c>
      <c r="Q59" s="15" t="s">
        <v>1</v>
      </c>
      <c r="R59" s="15" t="s">
        <v>4</v>
      </c>
      <c r="S59" s="15" t="s">
        <v>8</v>
      </c>
      <c r="T59" s="15" t="s">
        <v>9</v>
      </c>
    </row>
    <row r="60" spans="1:22" ht="15.75" thickBot="1" x14ac:dyDescent="0.3">
      <c r="A60" s="23">
        <v>1000</v>
      </c>
      <c r="B60" s="18"/>
      <c r="C60" s="18"/>
      <c r="D60" s="5">
        <v>1</v>
      </c>
      <c r="E60" s="5">
        <v>50</v>
      </c>
      <c r="F60" s="5">
        <v>35</v>
      </c>
      <c r="G60" s="5">
        <f>(E60*F60)/10000</f>
        <v>0.17499999999999999</v>
      </c>
      <c r="H60" s="29">
        <f>G60*D60*A60</f>
        <v>175</v>
      </c>
      <c r="J60" s="11" t="s">
        <v>0</v>
      </c>
      <c r="K60" s="20">
        <f>O51</f>
        <v>55</v>
      </c>
      <c r="L60" s="2">
        <v>700</v>
      </c>
      <c r="M60" s="2">
        <f>K60*L60</f>
        <v>38500</v>
      </c>
      <c r="Q60" s="11" t="s">
        <v>0</v>
      </c>
      <c r="R60" s="20">
        <f>V51</f>
        <v>55</v>
      </c>
      <c r="S60" s="2">
        <v>700</v>
      </c>
      <c r="T60" s="2">
        <f>R60*S60</f>
        <v>38500</v>
      </c>
    </row>
    <row r="61" spans="1:22" x14ac:dyDescent="0.25">
      <c r="G61" s="1"/>
      <c r="J61" s="11" t="s">
        <v>40</v>
      </c>
      <c r="K61" s="20">
        <f>O54</f>
        <v>5</v>
      </c>
      <c r="L61" s="2"/>
      <c r="M61" s="2">
        <f>K61*L61</f>
        <v>0</v>
      </c>
      <c r="Q61" s="11" t="s">
        <v>40</v>
      </c>
      <c r="R61" s="20">
        <f>V54</f>
        <v>5</v>
      </c>
      <c r="S61" s="2"/>
      <c r="T61" s="2">
        <f>R61*S61</f>
        <v>0</v>
      </c>
    </row>
    <row r="62" spans="1:22" x14ac:dyDescent="0.25">
      <c r="A62" s="15" t="s">
        <v>1</v>
      </c>
      <c r="B62" s="15"/>
      <c r="C62" s="15"/>
      <c r="D62" s="15" t="s">
        <v>4</v>
      </c>
      <c r="E62" s="15" t="s">
        <v>8</v>
      </c>
      <c r="F62" s="15" t="s">
        <v>9</v>
      </c>
      <c r="I62" s="30"/>
      <c r="J62" s="11" t="s">
        <v>2</v>
      </c>
      <c r="K62">
        <v>3</v>
      </c>
      <c r="L62" s="2">
        <v>10000</v>
      </c>
      <c r="M62" s="2">
        <f>K62*L62</f>
        <v>30000</v>
      </c>
      <c r="O62" s="8"/>
      <c r="P62" s="30"/>
      <c r="Q62" s="11" t="s">
        <v>2</v>
      </c>
      <c r="R62">
        <v>3</v>
      </c>
      <c r="S62" s="2">
        <v>10000</v>
      </c>
      <c r="T62" s="2">
        <f>R62*S62</f>
        <v>30000</v>
      </c>
      <c r="V62" s="8"/>
    </row>
    <row r="63" spans="1:22" x14ac:dyDescent="0.25">
      <c r="A63" s="11" t="s">
        <v>79</v>
      </c>
      <c r="B63" s="11"/>
      <c r="C63" s="11"/>
      <c r="D63" s="20">
        <f>H51</f>
        <v>275</v>
      </c>
      <c r="E63" s="2">
        <v>929</v>
      </c>
      <c r="F63" s="2">
        <f>D63*E63</f>
        <v>255475</v>
      </c>
      <c r="I63" s="30"/>
      <c r="J63" s="11" t="s">
        <v>37</v>
      </c>
      <c r="L63" s="2">
        <v>108000</v>
      </c>
      <c r="M63" s="2">
        <f>K63*L63</f>
        <v>0</v>
      </c>
      <c r="O63" s="8"/>
      <c r="P63" s="30"/>
      <c r="Q63" s="11" t="s">
        <v>37</v>
      </c>
      <c r="S63" s="2">
        <v>108000</v>
      </c>
      <c r="T63" s="2">
        <f>R63*S63</f>
        <v>0</v>
      </c>
      <c r="V63" s="8"/>
    </row>
    <row r="64" spans="1:22" x14ac:dyDescent="0.25">
      <c r="A64" s="11" t="s">
        <v>44</v>
      </c>
      <c r="B64" s="11"/>
      <c r="C64" s="11"/>
      <c r="D64" s="20">
        <f>H54</f>
        <v>150</v>
      </c>
      <c r="E64" s="2">
        <v>0</v>
      </c>
      <c r="F64" s="2">
        <f t="shared" ref="F64:F78" si="4">D64*E64</f>
        <v>0</v>
      </c>
      <c r="J64" s="11" t="s">
        <v>41</v>
      </c>
      <c r="L64" s="2">
        <v>15000</v>
      </c>
      <c r="M64" s="2">
        <f t="shared" ref="M64:M78" si="5">K64*L64</f>
        <v>0</v>
      </c>
      <c r="O64" s="3"/>
      <c r="Q64" s="11" t="s">
        <v>41</v>
      </c>
      <c r="S64" s="2">
        <v>15000</v>
      </c>
      <c r="T64" s="2">
        <f t="shared" ref="T64:T78" si="6">R64*S64</f>
        <v>0</v>
      </c>
      <c r="V64" s="3"/>
    </row>
    <row r="65" spans="1:23" x14ac:dyDescent="0.25">
      <c r="A65" s="11" t="s">
        <v>48</v>
      </c>
      <c r="B65" s="11"/>
      <c r="C65" s="11"/>
      <c r="D65" s="20">
        <f>H57</f>
        <v>25</v>
      </c>
      <c r="E65" s="2"/>
      <c r="F65" s="2">
        <f t="shared" si="4"/>
        <v>0</v>
      </c>
      <c r="J65" s="11" t="s">
        <v>42</v>
      </c>
      <c r="K65">
        <v>1</v>
      </c>
      <c r="L65" s="2">
        <v>7000</v>
      </c>
      <c r="M65" s="2">
        <f t="shared" si="5"/>
        <v>7000</v>
      </c>
      <c r="O65" s="3"/>
      <c r="Q65" s="11" t="s">
        <v>42</v>
      </c>
      <c r="R65">
        <v>1</v>
      </c>
      <c r="S65" s="2">
        <v>7000</v>
      </c>
      <c r="T65" s="2">
        <f t="shared" si="6"/>
        <v>7000</v>
      </c>
      <c r="V65" s="3"/>
    </row>
    <row r="66" spans="1:23" x14ac:dyDescent="0.25">
      <c r="A66" s="11" t="s">
        <v>43</v>
      </c>
      <c r="B66" s="11"/>
      <c r="C66" s="11"/>
      <c r="D66">
        <v>1</v>
      </c>
      <c r="E66" s="2">
        <v>13000</v>
      </c>
      <c r="F66" s="2">
        <f t="shared" si="4"/>
        <v>13000</v>
      </c>
      <c r="H66" s="8"/>
      <c r="J66" s="11" t="s">
        <v>18</v>
      </c>
      <c r="L66" s="2">
        <v>600</v>
      </c>
      <c r="M66" s="2">
        <f t="shared" si="5"/>
        <v>0</v>
      </c>
      <c r="Q66" s="11" t="s">
        <v>18</v>
      </c>
      <c r="S66" s="2">
        <v>600</v>
      </c>
      <c r="T66" s="2">
        <f t="shared" si="6"/>
        <v>0</v>
      </c>
    </row>
    <row r="67" spans="1:23" x14ac:dyDescent="0.25">
      <c r="A67" s="11" t="s">
        <v>49</v>
      </c>
      <c r="B67" s="11"/>
      <c r="C67" s="11"/>
      <c r="D67">
        <v>1</v>
      </c>
      <c r="E67" s="2">
        <v>20000</v>
      </c>
      <c r="F67" s="2">
        <f t="shared" si="4"/>
        <v>20000</v>
      </c>
      <c r="H67" s="8"/>
      <c r="J67" s="11" t="s">
        <v>19</v>
      </c>
      <c r="L67" s="2">
        <v>300</v>
      </c>
      <c r="M67" s="2">
        <f t="shared" si="5"/>
        <v>0</v>
      </c>
      <c r="Q67" s="11" t="s">
        <v>19</v>
      </c>
      <c r="S67" s="2">
        <v>300</v>
      </c>
      <c r="T67" s="2">
        <f t="shared" si="6"/>
        <v>0</v>
      </c>
    </row>
    <row r="68" spans="1:23" x14ac:dyDescent="0.25">
      <c r="A68" s="11" t="s">
        <v>45</v>
      </c>
      <c r="B68" s="11"/>
      <c r="C68" s="11"/>
      <c r="E68" s="2">
        <v>60000</v>
      </c>
      <c r="F68" s="2">
        <f t="shared" si="4"/>
        <v>0</v>
      </c>
      <c r="H68" s="3"/>
      <c r="J68" s="11" t="s">
        <v>21</v>
      </c>
      <c r="L68" s="2">
        <v>45000</v>
      </c>
      <c r="M68" s="2">
        <f t="shared" si="5"/>
        <v>0</v>
      </c>
      <c r="Q68" s="11" t="s">
        <v>21</v>
      </c>
      <c r="S68" s="2">
        <v>45000</v>
      </c>
      <c r="T68" s="2">
        <f t="shared" si="6"/>
        <v>0</v>
      </c>
    </row>
    <row r="69" spans="1:23" x14ac:dyDescent="0.25">
      <c r="A69" s="11" t="s">
        <v>46</v>
      </c>
      <c r="B69" s="11"/>
      <c r="C69" s="11"/>
      <c r="E69" s="2">
        <v>320000</v>
      </c>
      <c r="F69" s="2">
        <f t="shared" si="4"/>
        <v>0</v>
      </c>
      <c r="H69" s="3"/>
      <c r="J69" s="11" t="s">
        <v>20</v>
      </c>
      <c r="L69" s="2">
        <v>15000</v>
      </c>
      <c r="M69" s="2">
        <f t="shared" si="5"/>
        <v>0</v>
      </c>
      <c r="Q69" s="11" t="s">
        <v>20</v>
      </c>
      <c r="S69" s="2">
        <v>15000</v>
      </c>
      <c r="T69" s="2">
        <f t="shared" si="6"/>
        <v>0</v>
      </c>
    </row>
    <row r="70" spans="1:23" x14ac:dyDescent="0.25">
      <c r="A70" s="11" t="s">
        <v>47</v>
      </c>
      <c r="B70" s="11"/>
      <c r="C70" s="11"/>
      <c r="E70" s="2">
        <v>45000</v>
      </c>
      <c r="F70" s="2">
        <f t="shared" si="4"/>
        <v>0</v>
      </c>
      <c r="H70" s="3"/>
      <c r="J70" s="11" t="s">
        <v>22</v>
      </c>
      <c r="K70" s="20">
        <f>IF(O57&lt;160,160,O57)</f>
        <v>160</v>
      </c>
      <c r="L70" s="2">
        <v>250</v>
      </c>
      <c r="M70" s="2">
        <f t="shared" si="5"/>
        <v>40000</v>
      </c>
      <c r="Q70" s="11" t="s">
        <v>22</v>
      </c>
      <c r="R70" s="20">
        <f>IF(V57&lt;160,160,V57)</f>
        <v>160</v>
      </c>
      <c r="S70" s="2">
        <v>250</v>
      </c>
      <c r="T70" s="2">
        <f t="shared" si="6"/>
        <v>40000</v>
      </c>
    </row>
    <row r="71" spans="1:23" x14ac:dyDescent="0.25">
      <c r="A71" s="11" t="s">
        <v>50</v>
      </c>
      <c r="B71" s="11"/>
      <c r="C71" s="11"/>
      <c r="E71" s="2">
        <v>23000</v>
      </c>
      <c r="F71" s="2">
        <f t="shared" si="4"/>
        <v>0</v>
      </c>
      <c r="H71" s="3"/>
      <c r="J71" s="11" t="s">
        <v>24</v>
      </c>
      <c r="K71" s="20">
        <v>1</v>
      </c>
      <c r="L71" s="2">
        <v>40000</v>
      </c>
      <c r="M71" s="2">
        <f t="shared" si="5"/>
        <v>40000</v>
      </c>
      <c r="Q71" s="11" t="s">
        <v>24</v>
      </c>
      <c r="R71" s="20">
        <v>1</v>
      </c>
      <c r="S71" s="2">
        <v>40000</v>
      </c>
      <c r="T71" s="2">
        <f t="shared" si="6"/>
        <v>40000</v>
      </c>
    </row>
    <row r="72" spans="1:23" x14ac:dyDescent="0.25">
      <c r="A72" s="11" t="s">
        <v>75</v>
      </c>
      <c r="B72" s="11"/>
      <c r="C72" s="11"/>
      <c r="E72" s="2">
        <v>10</v>
      </c>
      <c r="F72" s="2">
        <f t="shared" si="4"/>
        <v>0</v>
      </c>
      <c r="J72" s="11" t="s">
        <v>23</v>
      </c>
      <c r="K72" s="20">
        <f>IF(O57&lt;146,146,O57)</f>
        <v>146</v>
      </c>
      <c r="L72" s="2">
        <v>275</v>
      </c>
      <c r="M72" s="2">
        <f t="shared" si="5"/>
        <v>40150</v>
      </c>
      <c r="Q72" s="11" t="s">
        <v>23</v>
      </c>
      <c r="R72" s="20">
        <f>IF(V57&lt;146,146,V57)</f>
        <v>146</v>
      </c>
      <c r="S72" s="2">
        <v>275</v>
      </c>
      <c r="T72" s="2">
        <f t="shared" si="6"/>
        <v>40150</v>
      </c>
    </row>
    <row r="73" spans="1:23" x14ac:dyDescent="0.25">
      <c r="A73" s="11" t="s">
        <v>21</v>
      </c>
      <c r="B73" s="11"/>
      <c r="C73" s="11"/>
      <c r="D73">
        <v>1</v>
      </c>
      <c r="E73" s="2">
        <v>50000</v>
      </c>
      <c r="F73" s="2">
        <f t="shared" si="4"/>
        <v>50000</v>
      </c>
      <c r="J73" s="11" t="s">
        <v>25</v>
      </c>
      <c r="K73" s="20">
        <f>IF(O57&lt;110,110,O57)</f>
        <v>110</v>
      </c>
      <c r="L73" s="2">
        <v>670</v>
      </c>
      <c r="M73" s="2">
        <f t="shared" si="5"/>
        <v>73700</v>
      </c>
      <c r="Q73" s="11" t="s">
        <v>25</v>
      </c>
      <c r="R73" s="20">
        <f>IF(V57&lt;110,110,V57)</f>
        <v>110</v>
      </c>
      <c r="S73" s="2">
        <v>670</v>
      </c>
      <c r="T73" s="2">
        <f t="shared" si="6"/>
        <v>73700</v>
      </c>
    </row>
    <row r="74" spans="1:23" x14ac:dyDescent="0.25">
      <c r="A74" s="11" t="s">
        <v>20</v>
      </c>
      <c r="B74" s="11"/>
      <c r="C74" s="11"/>
      <c r="D74">
        <v>1</v>
      </c>
      <c r="E74" s="2">
        <v>25000</v>
      </c>
      <c r="F74" s="2">
        <f t="shared" si="4"/>
        <v>25000</v>
      </c>
      <c r="J74" s="11" t="s">
        <v>38</v>
      </c>
      <c r="K74">
        <v>2000</v>
      </c>
      <c r="L74" s="2">
        <v>30</v>
      </c>
      <c r="M74" s="2">
        <f t="shared" si="5"/>
        <v>60000</v>
      </c>
      <c r="Q74" s="11" t="s">
        <v>38</v>
      </c>
      <c r="R74">
        <v>2000</v>
      </c>
      <c r="S74" s="2">
        <v>30</v>
      </c>
      <c r="T74" s="2">
        <f t="shared" si="6"/>
        <v>60000</v>
      </c>
    </row>
    <row r="75" spans="1:23" x14ac:dyDescent="0.25">
      <c r="A75" s="11" t="s">
        <v>22</v>
      </c>
      <c r="B75" s="11"/>
      <c r="C75" s="11"/>
      <c r="D75">
        <f>IF(H60&lt;160,160,H60)</f>
        <v>175</v>
      </c>
      <c r="E75" s="2">
        <v>250</v>
      </c>
      <c r="F75" s="2">
        <f t="shared" si="4"/>
        <v>43750</v>
      </c>
      <c r="H75">
        <v>4859</v>
      </c>
      <c r="J75" s="11" t="s">
        <v>26</v>
      </c>
      <c r="K75">
        <v>1</v>
      </c>
      <c r="L75" s="2">
        <v>6000</v>
      </c>
      <c r="M75" s="2">
        <f t="shared" si="5"/>
        <v>6000</v>
      </c>
      <c r="Q75" s="11" t="s">
        <v>26</v>
      </c>
      <c r="R75">
        <v>1</v>
      </c>
      <c r="S75" s="2">
        <v>6000</v>
      </c>
      <c r="T75" s="2">
        <f t="shared" si="6"/>
        <v>6000</v>
      </c>
    </row>
    <row r="76" spans="1:23" x14ac:dyDescent="0.25">
      <c r="A76" s="11" t="s">
        <v>24</v>
      </c>
      <c r="B76" s="11"/>
      <c r="C76" s="11"/>
      <c r="D76">
        <v>1</v>
      </c>
      <c r="E76" s="2">
        <v>40000</v>
      </c>
      <c r="F76" s="2">
        <f t="shared" si="4"/>
        <v>40000</v>
      </c>
      <c r="J76" s="11" t="s">
        <v>36</v>
      </c>
      <c r="K76" s="20"/>
      <c r="L76" s="2">
        <v>5000</v>
      </c>
      <c r="M76" s="2">
        <f t="shared" si="5"/>
        <v>0</v>
      </c>
      <c r="Q76" s="11" t="s">
        <v>36</v>
      </c>
      <c r="R76" s="20"/>
      <c r="S76" s="2">
        <v>5000</v>
      </c>
      <c r="T76" s="2">
        <f t="shared" si="6"/>
        <v>0</v>
      </c>
    </row>
    <row r="77" spans="1:23" x14ac:dyDescent="0.25">
      <c r="A77" s="11" t="s">
        <v>23</v>
      </c>
      <c r="B77" s="11"/>
      <c r="C77" s="11"/>
      <c r="D77">
        <f>IF(H60&lt;146,146,H60)</f>
        <v>175</v>
      </c>
      <c r="E77" s="2">
        <v>300</v>
      </c>
      <c r="F77" s="2">
        <f t="shared" si="4"/>
        <v>52500</v>
      </c>
      <c r="H77">
        <f>4708000-2904000</f>
        <v>1804000</v>
      </c>
      <c r="J77" s="11" t="s">
        <v>27</v>
      </c>
      <c r="L77" s="2"/>
      <c r="M77" s="2">
        <f t="shared" si="5"/>
        <v>0</v>
      </c>
      <c r="Q77" s="11" t="s">
        <v>27</v>
      </c>
      <c r="S77" s="2"/>
      <c r="T77" s="2">
        <f t="shared" si="6"/>
        <v>0</v>
      </c>
      <c r="W77">
        <f>850000/3</f>
        <v>283333.33333333331</v>
      </c>
    </row>
    <row r="78" spans="1:23" x14ac:dyDescent="0.25">
      <c r="A78" s="11" t="s">
        <v>25</v>
      </c>
      <c r="B78" s="11"/>
      <c r="C78" s="11"/>
      <c r="D78">
        <f>IF(H60&lt;110,110,H60)</f>
        <v>175</v>
      </c>
      <c r="E78" s="2">
        <v>600</v>
      </c>
      <c r="F78" s="2">
        <f t="shared" si="4"/>
        <v>105000</v>
      </c>
      <c r="J78" s="11" t="s">
        <v>28</v>
      </c>
      <c r="L78" s="2"/>
      <c r="M78" s="2">
        <f t="shared" si="5"/>
        <v>0</v>
      </c>
      <c r="Q78" s="11" t="s">
        <v>28</v>
      </c>
      <c r="S78" s="2"/>
      <c r="T78" s="2">
        <f t="shared" si="6"/>
        <v>0</v>
      </c>
    </row>
    <row r="79" spans="1:23" x14ac:dyDescent="0.25">
      <c r="A79" s="11" t="s">
        <v>38</v>
      </c>
      <c r="B79" s="11"/>
      <c r="C79" s="11"/>
      <c r="D79">
        <v>1</v>
      </c>
      <c r="E79" s="2">
        <v>25000</v>
      </c>
      <c r="F79" s="2">
        <f>+E79*D79</f>
        <v>25000</v>
      </c>
      <c r="I79" s="38"/>
      <c r="J79" s="12" t="s">
        <v>29</v>
      </c>
      <c r="K79" s="13"/>
      <c r="L79" s="13"/>
      <c r="M79" s="14">
        <f>SUM(M60:M69,M74:M78)</f>
        <v>141500</v>
      </c>
      <c r="O79" s="22">
        <f>M79*2</f>
        <v>283000</v>
      </c>
      <c r="P79" s="38"/>
      <c r="Q79" s="12" t="s">
        <v>29</v>
      </c>
      <c r="R79" s="13"/>
      <c r="S79" s="13"/>
      <c r="T79" s="14">
        <f>SUM(T60:T69,T74:T78)</f>
        <v>141500</v>
      </c>
      <c r="V79" s="22">
        <f>T79*2</f>
        <v>283000</v>
      </c>
      <c r="W79">
        <f>330000/5</f>
        <v>66000</v>
      </c>
    </row>
    <row r="80" spans="1:23" x14ac:dyDescent="0.25">
      <c r="A80" s="11" t="s">
        <v>26</v>
      </c>
      <c r="B80" s="11"/>
      <c r="C80" s="11"/>
      <c r="D80">
        <v>0</v>
      </c>
      <c r="E80" s="2">
        <v>145</v>
      </c>
      <c r="F80" s="2">
        <f>D80*E80</f>
        <v>0</v>
      </c>
      <c r="H80">
        <f>5228000-2904000</f>
        <v>2324000</v>
      </c>
      <c r="I80" s="38"/>
      <c r="J80" s="12" t="s">
        <v>31</v>
      </c>
      <c r="K80" s="13"/>
      <c r="L80" s="13"/>
      <c r="M80" s="14">
        <f>SUM(M60:M70,M74:M78)</f>
        <v>181500</v>
      </c>
      <c r="O80" s="22">
        <f>M80*2</f>
        <v>363000</v>
      </c>
      <c r="P80" s="38"/>
      <c r="Q80" s="12" t="s">
        <v>31</v>
      </c>
      <c r="R80" s="13"/>
      <c r="S80" s="13"/>
      <c r="T80" s="14">
        <f>SUM(T60:T70,T74:T78)</f>
        <v>181500</v>
      </c>
      <c r="V80" s="22">
        <f>T80*2</f>
        <v>363000</v>
      </c>
    </row>
    <row r="81" spans="1:22" x14ac:dyDescent="0.25">
      <c r="A81" s="11" t="s">
        <v>36</v>
      </c>
      <c r="B81" s="11"/>
      <c r="C81" s="11"/>
      <c r="D81">
        <v>0</v>
      </c>
      <c r="E81" s="2">
        <v>35000</v>
      </c>
      <c r="F81" s="2">
        <f>D81*E81</f>
        <v>0</v>
      </c>
      <c r="I81" s="38"/>
      <c r="J81" s="12" t="s">
        <v>32</v>
      </c>
      <c r="K81" s="13"/>
      <c r="L81" s="13"/>
      <c r="M81" s="14">
        <f>SUM(M60:M69,M71:M72,M74:M78)</f>
        <v>221650</v>
      </c>
      <c r="O81" s="22">
        <f>M81*1.8</f>
        <v>398970</v>
      </c>
      <c r="P81" s="38"/>
      <c r="Q81" s="12" t="s">
        <v>32</v>
      </c>
      <c r="R81" s="13"/>
      <c r="S81" s="13"/>
      <c r="T81" s="14">
        <f>SUM(T60:T69,T71:T72,T74:T78)</f>
        <v>221650</v>
      </c>
      <c r="V81" s="22">
        <f>T81*1.8</f>
        <v>398970</v>
      </c>
    </row>
    <row r="82" spans="1:22" x14ac:dyDescent="0.25">
      <c r="A82" s="11" t="s">
        <v>27</v>
      </c>
      <c r="B82" s="11"/>
      <c r="C82" s="11"/>
      <c r="E82" s="2">
        <v>70000</v>
      </c>
      <c r="F82" s="2">
        <f>D82*E82</f>
        <v>0</v>
      </c>
      <c r="G82" t="s">
        <v>81</v>
      </c>
      <c r="H82">
        <v>1.19</v>
      </c>
      <c r="I82" s="38"/>
      <c r="J82" s="12" t="s">
        <v>30</v>
      </c>
      <c r="K82" s="13"/>
      <c r="L82" s="13"/>
      <c r="M82" s="14">
        <f>SUM(M60:M69,M73:M78)</f>
        <v>215200</v>
      </c>
      <c r="O82" s="22">
        <f>M82*1.8</f>
        <v>387360</v>
      </c>
      <c r="P82" s="38"/>
      <c r="Q82" s="12" t="s">
        <v>30</v>
      </c>
      <c r="R82" s="13"/>
      <c r="S82" s="13"/>
      <c r="T82" s="14">
        <f>SUM(T60:T69,T73:T78)</f>
        <v>215200</v>
      </c>
      <c r="V82" s="22">
        <f>T82*1.8</f>
        <v>387360</v>
      </c>
    </row>
    <row r="83" spans="1:22" x14ac:dyDescent="0.25">
      <c r="A83" s="11" t="s">
        <v>28</v>
      </c>
      <c r="B83" s="11"/>
      <c r="C83" s="11"/>
      <c r="E83" s="2"/>
      <c r="F83" s="2">
        <f>D83*E83</f>
        <v>0</v>
      </c>
      <c r="G83" t="s">
        <v>82</v>
      </c>
      <c r="H83">
        <v>1.8</v>
      </c>
      <c r="I83" s="38"/>
      <c r="J83" s="12" t="s">
        <v>33</v>
      </c>
      <c r="K83" s="13"/>
      <c r="L83" s="13"/>
      <c r="M83" s="14">
        <f>SUM(M60:M69,M71:M78)</f>
        <v>295350</v>
      </c>
      <c r="O83" s="22">
        <f>M83*1.8</f>
        <v>531630</v>
      </c>
      <c r="P83" s="38"/>
      <c r="Q83" s="12" t="s">
        <v>33</v>
      </c>
      <c r="R83" s="13"/>
      <c r="S83" s="13"/>
      <c r="T83" s="14">
        <f>SUM(T60:T69,T71:T78)</f>
        <v>295350</v>
      </c>
      <c r="V83" s="22">
        <f>T83*1.8</f>
        <v>531630</v>
      </c>
    </row>
    <row r="84" spans="1:22" x14ac:dyDescent="0.25">
      <c r="A84" s="12" t="s">
        <v>29</v>
      </c>
      <c r="B84" s="12"/>
      <c r="C84" s="12"/>
      <c r="D84" s="13"/>
      <c r="E84" s="13"/>
      <c r="F84" s="14">
        <f>SUM(F63:F74,F79:F83)</f>
        <v>388475</v>
      </c>
      <c r="H84" s="41">
        <f>F84*$H$83*$H$82</f>
        <v>832113.45</v>
      </c>
      <c r="I84" s="38">
        <f>+H84/$A$51</f>
        <v>832.11344999999994</v>
      </c>
    </row>
    <row r="85" spans="1:22" x14ac:dyDescent="0.25">
      <c r="A85" s="12" t="s">
        <v>31</v>
      </c>
      <c r="B85" s="12"/>
      <c r="C85" s="12"/>
      <c r="D85" s="13"/>
      <c r="E85" s="13"/>
      <c r="F85" s="14">
        <f>SUM(F63:F75,F79:F83)</f>
        <v>432225</v>
      </c>
      <c r="H85" s="41">
        <f t="shared" ref="H85:H88" si="7">F85*$H$83*$H$82</f>
        <v>925825.95</v>
      </c>
      <c r="I85" s="38">
        <f>+H85/$A$51</f>
        <v>925.82594999999992</v>
      </c>
    </row>
    <row r="86" spans="1:22" ht="21" x14ac:dyDescent="0.35">
      <c r="A86" s="12" t="s">
        <v>32</v>
      </c>
      <c r="B86" s="12"/>
      <c r="C86" s="12"/>
      <c r="D86" s="13"/>
      <c r="E86" s="13"/>
      <c r="F86" s="14">
        <f>SUM(F63:F74,F76:F77,F79:F83)</f>
        <v>480975</v>
      </c>
      <c r="H86" s="41">
        <f t="shared" si="7"/>
        <v>1030248.45</v>
      </c>
      <c r="I86" s="38">
        <f>+H86/$A$51</f>
        <v>1030.24845</v>
      </c>
      <c r="J86" s="16" t="s">
        <v>34</v>
      </c>
      <c r="K86" s="17"/>
      <c r="L86" s="17"/>
      <c r="M86" s="17"/>
      <c r="N86" s="17"/>
      <c r="O86" s="17"/>
      <c r="P86" s="33"/>
      <c r="Q86" s="16" t="s">
        <v>34</v>
      </c>
      <c r="R86" s="17"/>
      <c r="S86" s="17"/>
      <c r="T86" s="17"/>
      <c r="U86" s="17"/>
      <c r="V86" s="17"/>
    </row>
    <row r="87" spans="1:22" ht="16.5" thickBot="1" x14ac:dyDescent="0.3">
      <c r="A87" s="12" t="s">
        <v>30</v>
      </c>
      <c r="B87" s="12"/>
      <c r="C87" s="12"/>
      <c r="D87" s="13"/>
      <c r="E87" s="13"/>
      <c r="F87" s="14">
        <f>SUM(F63:F74,F78:F83)</f>
        <v>493475</v>
      </c>
      <c r="H87" s="41">
        <f t="shared" si="7"/>
        <v>1057023.45</v>
      </c>
      <c r="I87" s="38">
        <f>+H87/$A$51</f>
        <v>1057.0234499999999</v>
      </c>
      <c r="J87" s="46" t="s">
        <v>39</v>
      </c>
      <c r="K87" s="46"/>
      <c r="L87" s="46"/>
      <c r="M87" s="46"/>
      <c r="N87" s="46"/>
      <c r="O87" s="46"/>
      <c r="P87" s="34"/>
      <c r="Q87" s="46" t="s">
        <v>39</v>
      </c>
      <c r="R87" s="46"/>
      <c r="S87" s="46"/>
      <c r="T87" s="46"/>
      <c r="U87" s="46"/>
      <c r="V87" s="46"/>
    </row>
    <row r="88" spans="1:22" ht="15.75" x14ac:dyDescent="0.25">
      <c r="A88" s="12" t="s">
        <v>33</v>
      </c>
      <c r="B88" s="12"/>
      <c r="C88" s="12"/>
      <c r="D88" s="13"/>
      <c r="E88" s="13"/>
      <c r="F88" s="14">
        <f>SUM(F63:F74,F76:F83)</f>
        <v>585975</v>
      </c>
      <c r="H88" s="41">
        <f t="shared" si="7"/>
        <v>1255158.45</v>
      </c>
      <c r="I88" s="38">
        <f>+H88/$A$51</f>
        <v>1255.1584499999999</v>
      </c>
      <c r="J88" s="43" t="s">
        <v>10</v>
      </c>
      <c r="K88" s="44"/>
      <c r="L88" s="44"/>
      <c r="M88" s="44"/>
      <c r="N88" s="44"/>
      <c r="O88" s="45"/>
      <c r="P88" s="35"/>
      <c r="Q88" s="43" t="s">
        <v>10</v>
      </c>
      <c r="R88" s="44"/>
      <c r="S88" s="44"/>
      <c r="T88" s="44"/>
      <c r="U88" s="44"/>
      <c r="V88" s="45"/>
    </row>
    <row r="89" spans="1:22" ht="15.75" x14ac:dyDescent="0.25">
      <c r="A89" s="12"/>
      <c r="B89" s="12"/>
      <c r="C89" s="12"/>
      <c r="D89" s="13"/>
      <c r="E89" s="13"/>
      <c r="F89" s="14"/>
      <c r="H89" s="22"/>
      <c r="I89" s="35"/>
      <c r="J89" s="39"/>
      <c r="K89" s="39"/>
      <c r="L89" s="39"/>
      <c r="M89" s="39"/>
      <c r="N89" s="39"/>
      <c r="O89" s="39"/>
      <c r="P89" s="35"/>
      <c r="Q89" s="39"/>
      <c r="R89" s="39"/>
      <c r="S89" s="39"/>
      <c r="T89" s="39"/>
      <c r="U89" s="39"/>
      <c r="V89" s="40"/>
    </row>
    <row r="90" spans="1:22" x14ac:dyDescent="0.25">
      <c r="A90" s="7" t="s">
        <v>4</v>
      </c>
      <c r="B90" s="8"/>
      <c r="C90" s="8"/>
      <c r="D90" s="8" t="s">
        <v>5</v>
      </c>
      <c r="E90" s="8" t="s">
        <v>6</v>
      </c>
      <c r="F90" s="8" t="s">
        <v>7</v>
      </c>
      <c r="G90" s="8" t="s">
        <v>35</v>
      </c>
      <c r="H90" s="8" t="s">
        <v>3</v>
      </c>
      <c r="I90" s="30"/>
      <c r="J90" s="8" t="s">
        <v>4</v>
      </c>
      <c r="K90" s="8" t="s">
        <v>5</v>
      </c>
      <c r="L90" s="8" t="s">
        <v>6</v>
      </c>
      <c r="M90" s="8" t="s">
        <v>7</v>
      </c>
      <c r="N90" s="8" t="s">
        <v>35</v>
      </c>
      <c r="O90" s="8" t="s">
        <v>3</v>
      </c>
      <c r="P90" s="30"/>
      <c r="Q90" s="8" t="s">
        <v>4</v>
      </c>
      <c r="R90" s="8" t="s">
        <v>5</v>
      </c>
      <c r="S90" s="8" t="s">
        <v>6</v>
      </c>
      <c r="T90" s="8" t="s">
        <v>7</v>
      </c>
      <c r="U90" s="8" t="s">
        <v>35</v>
      </c>
      <c r="V90" s="9" t="s">
        <v>3</v>
      </c>
    </row>
    <row r="91" spans="1:22" ht="15.75" thickBot="1" x14ac:dyDescent="0.3">
      <c r="A91" s="4">
        <v>100</v>
      </c>
      <c r="B91" s="5"/>
      <c r="C91" s="5"/>
      <c r="D91" s="5">
        <v>1</v>
      </c>
      <c r="E91" s="18">
        <f>A91/D91</f>
        <v>100</v>
      </c>
      <c r="F91" s="5">
        <v>100</v>
      </c>
      <c r="G91" s="6">
        <v>2</v>
      </c>
      <c r="H91" s="27">
        <f>(E91+F91)/G91</f>
        <v>100</v>
      </c>
      <c r="I91" s="36"/>
      <c r="J91" s="5">
        <v>100</v>
      </c>
      <c r="K91" s="5">
        <v>1</v>
      </c>
      <c r="L91" s="18">
        <f>J91/K91</f>
        <v>100</v>
      </c>
      <c r="M91" s="5">
        <v>100</v>
      </c>
      <c r="N91" s="6">
        <v>2</v>
      </c>
      <c r="O91" s="27">
        <f>(L91+M91)/N91</f>
        <v>100</v>
      </c>
      <c r="P91" s="36"/>
      <c r="Q91" s="5">
        <v>100</v>
      </c>
      <c r="R91" s="5">
        <v>1</v>
      </c>
      <c r="S91" s="18">
        <f>Q91/R91</f>
        <v>100</v>
      </c>
      <c r="T91" s="5">
        <v>100</v>
      </c>
      <c r="U91" s="6">
        <v>2</v>
      </c>
      <c r="V91" s="19">
        <f>(S91+T91)/U91</f>
        <v>100</v>
      </c>
    </row>
    <row r="92" spans="1:22" ht="15.75" x14ac:dyDescent="0.25">
      <c r="A92" s="43" t="s">
        <v>10</v>
      </c>
      <c r="B92" s="44"/>
      <c r="C92" s="44"/>
      <c r="D92" s="44"/>
      <c r="E92" s="44"/>
      <c r="F92" s="44"/>
      <c r="G92" s="44"/>
      <c r="H92" s="45"/>
      <c r="I92" s="35"/>
      <c r="J92" s="43" t="s">
        <v>10</v>
      </c>
      <c r="K92" s="44"/>
      <c r="L92" s="44"/>
      <c r="M92" s="44"/>
      <c r="N92" s="44"/>
      <c r="O92" s="45"/>
      <c r="P92" s="35"/>
      <c r="Q92" s="43" t="s">
        <v>10</v>
      </c>
      <c r="R92" s="44"/>
      <c r="S92" s="44"/>
      <c r="T92" s="44"/>
      <c r="U92" s="44"/>
      <c r="V92" s="45"/>
    </row>
    <row r="93" spans="1:22" x14ac:dyDescent="0.25">
      <c r="A93" s="7" t="s">
        <v>4</v>
      </c>
      <c r="B93" s="8"/>
      <c r="C93" s="8"/>
      <c r="D93" s="8" t="s">
        <v>5</v>
      </c>
      <c r="E93" s="8" t="s">
        <v>6</v>
      </c>
      <c r="F93" s="8" t="s">
        <v>7</v>
      </c>
      <c r="G93" s="8" t="s">
        <v>35</v>
      </c>
      <c r="H93" s="8" t="s">
        <v>3</v>
      </c>
      <c r="I93" s="30"/>
      <c r="J93" s="8" t="s">
        <v>4</v>
      </c>
      <c r="K93" s="8" t="s">
        <v>5</v>
      </c>
      <c r="L93" s="8" t="s">
        <v>6</v>
      </c>
      <c r="M93" s="8" t="s">
        <v>7</v>
      </c>
      <c r="N93" s="8" t="s">
        <v>35</v>
      </c>
      <c r="O93" s="8" t="s">
        <v>3</v>
      </c>
      <c r="P93" s="30"/>
      <c r="Q93" s="8" t="s">
        <v>4</v>
      </c>
      <c r="R93" s="8" t="s">
        <v>5</v>
      </c>
      <c r="S93" s="8" t="s">
        <v>6</v>
      </c>
      <c r="T93" s="8" t="s">
        <v>7</v>
      </c>
      <c r="U93" s="8" t="s">
        <v>35</v>
      </c>
      <c r="V93" s="9" t="s">
        <v>3</v>
      </c>
    </row>
    <row r="94" spans="1:22" ht="15.75" thickBot="1" x14ac:dyDescent="0.3">
      <c r="A94" s="4">
        <v>100</v>
      </c>
      <c r="B94" s="5"/>
      <c r="C94" s="5"/>
      <c r="D94" s="5">
        <v>1</v>
      </c>
      <c r="E94" s="18">
        <f>A94/D94</f>
        <v>100</v>
      </c>
      <c r="F94" s="5">
        <v>10</v>
      </c>
      <c r="G94" s="6">
        <v>6</v>
      </c>
      <c r="H94" s="27">
        <f>(E94+F94)/G94</f>
        <v>18.333333333333332</v>
      </c>
      <c r="I94" s="36"/>
      <c r="J94" s="5">
        <v>100</v>
      </c>
      <c r="K94" s="5">
        <v>1</v>
      </c>
      <c r="L94" s="18">
        <f>J94/K94</f>
        <v>100</v>
      </c>
      <c r="M94" s="5">
        <v>10</v>
      </c>
      <c r="N94" s="6">
        <v>6</v>
      </c>
      <c r="O94" s="27">
        <f>(L94+M94)/N94</f>
        <v>18.333333333333332</v>
      </c>
      <c r="P94" s="36"/>
      <c r="Q94" s="5">
        <v>100</v>
      </c>
      <c r="R94" s="5">
        <v>1</v>
      </c>
      <c r="S94" s="18">
        <f>Q94/R94</f>
        <v>100</v>
      </c>
      <c r="T94" s="5">
        <v>10</v>
      </c>
      <c r="U94" s="6">
        <v>6</v>
      </c>
      <c r="V94" s="19">
        <f>(S94+T94)/U94</f>
        <v>18.333333333333332</v>
      </c>
    </row>
    <row r="95" spans="1:22" ht="15.75" x14ac:dyDescent="0.25">
      <c r="A95" s="43" t="s">
        <v>11</v>
      </c>
      <c r="B95" s="44"/>
      <c r="C95" s="44"/>
      <c r="D95" s="44"/>
      <c r="E95" s="44"/>
      <c r="F95" s="44"/>
      <c r="G95" s="44"/>
      <c r="H95" s="45"/>
      <c r="I95" s="35"/>
      <c r="J95" s="43" t="s">
        <v>11</v>
      </c>
      <c r="K95" s="44"/>
      <c r="L95" s="44"/>
      <c r="M95" s="44"/>
      <c r="N95" s="44"/>
      <c r="O95" s="45"/>
      <c r="P95" s="35"/>
      <c r="Q95" s="43" t="s">
        <v>11</v>
      </c>
      <c r="R95" s="44"/>
      <c r="S95" s="44"/>
      <c r="T95" s="44"/>
      <c r="U95" s="44"/>
      <c r="V95" s="45"/>
    </row>
    <row r="96" spans="1:22" ht="17.25" x14ac:dyDescent="0.25">
      <c r="A96" s="7" t="s">
        <v>16</v>
      </c>
      <c r="B96" s="8"/>
      <c r="C96" s="8"/>
      <c r="D96" s="8" t="s">
        <v>17</v>
      </c>
      <c r="E96" s="8" t="s">
        <v>13</v>
      </c>
      <c r="F96" s="8" t="s">
        <v>14</v>
      </c>
      <c r="G96" s="8" t="s">
        <v>12</v>
      </c>
      <c r="H96" s="28" t="s">
        <v>15</v>
      </c>
      <c r="I96" s="31"/>
      <c r="J96" s="8" t="s">
        <v>16</v>
      </c>
      <c r="K96" s="8" t="s">
        <v>17</v>
      </c>
      <c r="L96" s="8" t="s">
        <v>13</v>
      </c>
      <c r="M96" s="8" t="s">
        <v>14</v>
      </c>
      <c r="N96" s="8" t="s">
        <v>12</v>
      </c>
      <c r="O96" s="28" t="s">
        <v>15</v>
      </c>
      <c r="P96" s="31"/>
      <c r="Q96" s="8" t="s">
        <v>16</v>
      </c>
      <c r="R96" s="8" t="s">
        <v>17</v>
      </c>
      <c r="S96" s="8" t="s">
        <v>13</v>
      </c>
      <c r="T96" s="8" t="s">
        <v>14</v>
      </c>
      <c r="U96" s="8" t="s">
        <v>12</v>
      </c>
      <c r="V96" s="10" t="s">
        <v>15</v>
      </c>
    </row>
    <row r="97" spans="1:23" ht="15.75" thickBot="1" x14ac:dyDescent="0.3">
      <c r="A97" s="4">
        <v>150</v>
      </c>
      <c r="B97" s="5"/>
      <c r="C97" s="5"/>
      <c r="D97" s="5">
        <v>2</v>
      </c>
      <c r="E97" s="5">
        <v>70</v>
      </c>
      <c r="F97" s="5">
        <v>50</v>
      </c>
      <c r="G97" s="5">
        <f>(E97*F97)/10000</f>
        <v>0.35</v>
      </c>
      <c r="H97" s="29">
        <f>G97*D97*A97</f>
        <v>105</v>
      </c>
      <c r="I97" s="37"/>
      <c r="J97" s="5">
        <v>150</v>
      </c>
      <c r="K97" s="5">
        <v>2</v>
      </c>
      <c r="L97" s="5">
        <v>70</v>
      </c>
      <c r="M97" s="5">
        <v>50</v>
      </c>
      <c r="N97" s="5">
        <f>(L97*M97)/10000</f>
        <v>0.35</v>
      </c>
      <c r="O97" s="29">
        <f>N97*K97*J97</f>
        <v>105</v>
      </c>
      <c r="P97" s="37"/>
      <c r="Q97" s="5">
        <v>150</v>
      </c>
      <c r="R97" s="5">
        <v>2</v>
      </c>
      <c r="S97" s="5">
        <v>70</v>
      </c>
      <c r="T97" s="5">
        <v>50</v>
      </c>
      <c r="U97" s="5">
        <f>(S97*T97)/10000</f>
        <v>0.35</v>
      </c>
      <c r="V97" s="21">
        <f>U97*R97*Q97</f>
        <v>105</v>
      </c>
    </row>
    <row r="98" spans="1:23" x14ac:dyDescent="0.25">
      <c r="G98" s="1"/>
      <c r="N98" s="1"/>
      <c r="U98" s="1"/>
    </row>
    <row r="99" spans="1:23" x14ac:dyDescent="0.25">
      <c r="A99" s="15" t="s">
        <v>1</v>
      </c>
      <c r="B99" s="15"/>
      <c r="C99" s="15"/>
      <c r="D99" s="15" t="s">
        <v>4</v>
      </c>
      <c r="E99" s="15" t="s">
        <v>8</v>
      </c>
      <c r="F99" s="15" t="s">
        <v>9</v>
      </c>
      <c r="J99" s="15" t="s">
        <v>1</v>
      </c>
      <c r="K99" s="15" t="s">
        <v>4</v>
      </c>
      <c r="L99" s="15" t="s">
        <v>8</v>
      </c>
      <c r="M99" s="15" t="s">
        <v>9</v>
      </c>
      <c r="Q99" s="15" t="s">
        <v>1</v>
      </c>
      <c r="R99" s="15" t="s">
        <v>4</v>
      </c>
      <c r="S99" s="15" t="s">
        <v>8</v>
      </c>
      <c r="T99" s="15" t="s">
        <v>9</v>
      </c>
    </row>
    <row r="100" spans="1:23" x14ac:dyDescent="0.25">
      <c r="A100" s="11" t="s">
        <v>0</v>
      </c>
      <c r="B100" s="11"/>
      <c r="C100" s="11"/>
      <c r="D100" s="20">
        <f>H91</f>
        <v>100</v>
      </c>
      <c r="E100" s="2">
        <v>478</v>
      </c>
      <c r="F100" s="2">
        <f>D100*E100</f>
        <v>47800</v>
      </c>
      <c r="J100" s="11" t="s">
        <v>0</v>
      </c>
      <c r="K100" s="20">
        <f>O91</f>
        <v>100</v>
      </c>
      <c r="L100" s="2">
        <v>478</v>
      </c>
      <c r="M100" s="2">
        <f>K100*L100</f>
        <v>47800</v>
      </c>
      <c r="Q100" s="11" t="s">
        <v>0</v>
      </c>
      <c r="R100" s="20">
        <f>V91</f>
        <v>100</v>
      </c>
      <c r="S100" s="2">
        <v>478</v>
      </c>
      <c r="T100" s="2">
        <f>R100*S100</f>
        <v>47800</v>
      </c>
    </row>
    <row r="101" spans="1:23" x14ac:dyDescent="0.25">
      <c r="A101" s="11" t="s">
        <v>40</v>
      </c>
      <c r="B101" s="11"/>
      <c r="C101" s="11"/>
      <c r="D101" s="20">
        <f>H94</f>
        <v>18.333333333333332</v>
      </c>
      <c r="E101" s="2">
        <v>655</v>
      </c>
      <c r="F101" s="2">
        <f>D101*E101</f>
        <v>12008.333333333332</v>
      </c>
      <c r="H101">
        <f>100*12/10</f>
        <v>120</v>
      </c>
      <c r="J101" s="11" t="s">
        <v>40</v>
      </c>
      <c r="K101" s="20">
        <f>O94</f>
        <v>18.333333333333332</v>
      </c>
      <c r="L101" s="2">
        <v>655</v>
      </c>
      <c r="M101" s="2">
        <f>K101*L101</f>
        <v>12008.333333333332</v>
      </c>
      <c r="O101">
        <f>100*12/10</f>
        <v>120</v>
      </c>
      <c r="Q101" s="11" t="s">
        <v>40</v>
      </c>
      <c r="R101" s="20">
        <f>V94</f>
        <v>18.333333333333332</v>
      </c>
      <c r="S101" s="2">
        <v>655</v>
      </c>
      <c r="T101" s="2">
        <f>R101*S101</f>
        <v>12008.333333333332</v>
      </c>
      <c r="V101">
        <f>100*12/10</f>
        <v>120</v>
      </c>
      <c r="W101">
        <f>+V101*2400*2</f>
        <v>576000</v>
      </c>
    </row>
    <row r="102" spans="1:23" x14ac:dyDescent="0.25">
      <c r="A102" s="11" t="s">
        <v>2</v>
      </c>
      <c r="B102" s="11"/>
      <c r="C102" s="11"/>
      <c r="D102">
        <v>2</v>
      </c>
      <c r="E102" s="2">
        <v>80000</v>
      </c>
      <c r="F102" s="2">
        <f>D102*E102</f>
        <v>160000</v>
      </c>
      <c r="H102" s="8"/>
      <c r="I102" s="30"/>
      <c r="J102" s="11" t="s">
        <v>2</v>
      </c>
      <c r="K102">
        <v>2</v>
      </c>
      <c r="L102" s="2">
        <v>80000</v>
      </c>
      <c r="M102" s="2">
        <f>K102*L102</f>
        <v>160000</v>
      </c>
      <c r="O102" s="8"/>
      <c r="P102" s="30"/>
      <c r="Q102" s="11" t="s">
        <v>2</v>
      </c>
      <c r="R102">
        <v>2</v>
      </c>
      <c r="S102" s="2">
        <v>80000</v>
      </c>
      <c r="T102" s="2">
        <f>R102*S102</f>
        <v>160000</v>
      </c>
      <c r="V102" s="8"/>
    </row>
    <row r="103" spans="1:23" x14ac:dyDescent="0.25">
      <c r="A103" s="11" t="s">
        <v>37</v>
      </c>
      <c r="B103" s="11"/>
      <c r="C103" s="11"/>
      <c r="E103" s="2">
        <v>108000</v>
      </c>
      <c r="F103" s="2">
        <f>D103*E103</f>
        <v>0</v>
      </c>
      <c r="H103" s="8" t="s">
        <v>66</v>
      </c>
      <c r="I103" s="30"/>
      <c r="J103" s="11" t="s">
        <v>37</v>
      </c>
      <c r="L103" s="2">
        <v>108000</v>
      </c>
      <c r="M103" s="2">
        <f>K103*L103</f>
        <v>0</v>
      </c>
      <c r="O103" s="8" t="s">
        <v>66</v>
      </c>
      <c r="P103" s="30"/>
      <c r="Q103" s="11" t="s">
        <v>37</v>
      </c>
      <c r="S103" s="2">
        <v>108000</v>
      </c>
      <c r="T103" s="2">
        <f>R103*S103</f>
        <v>0</v>
      </c>
      <c r="V103" s="8" t="s">
        <v>66</v>
      </c>
    </row>
    <row r="104" spans="1:23" x14ac:dyDescent="0.25">
      <c r="A104" s="11" t="s">
        <v>41</v>
      </c>
      <c r="B104" s="11"/>
      <c r="C104" s="11"/>
      <c r="E104" s="2">
        <v>15000</v>
      </c>
      <c r="F104" s="2">
        <f t="shared" ref="F104:F118" si="8">D104*E104</f>
        <v>0</v>
      </c>
      <c r="H104" s="3">
        <f>50/4</f>
        <v>12.5</v>
      </c>
      <c r="J104" s="11" t="s">
        <v>41</v>
      </c>
      <c r="L104" s="2">
        <v>15000</v>
      </c>
      <c r="M104" s="2">
        <f t="shared" ref="M104:M118" si="9">K104*L104</f>
        <v>0</v>
      </c>
      <c r="O104" s="3">
        <f>50/4</f>
        <v>12.5</v>
      </c>
      <c r="Q104" s="11" t="s">
        <v>41</v>
      </c>
      <c r="S104" s="2">
        <v>15000</v>
      </c>
      <c r="T104" s="2">
        <f t="shared" ref="T104:T118" si="10">R104*S104</f>
        <v>0</v>
      </c>
      <c r="V104" s="3">
        <f>50/4</f>
        <v>12.5</v>
      </c>
    </row>
    <row r="105" spans="1:23" x14ac:dyDescent="0.25">
      <c r="A105" s="11" t="s">
        <v>42</v>
      </c>
      <c r="B105" s="11"/>
      <c r="C105" s="11"/>
      <c r="D105">
        <v>2</v>
      </c>
      <c r="E105" s="2">
        <v>60000</v>
      </c>
      <c r="F105" s="2">
        <f t="shared" si="8"/>
        <v>120000</v>
      </c>
      <c r="H105" s="3" t="s">
        <v>67</v>
      </c>
      <c r="J105" s="11" t="s">
        <v>42</v>
      </c>
      <c r="K105">
        <v>2</v>
      </c>
      <c r="L105" s="2">
        <v>60000</v>
      </c>
      <c r="M105" s="2">
        <f t="shared" si="9"/>
        <v>120000</v>
      </c>
      <c r="O105" s="3" t="s">
        <v>67</v>
      </c>
      <c r="Q105" s="11" t="s">
        <v>42</v>
      </c>
      <c r="R105">
        <v>2</v>
      </c>
      <c r="S105" s="2">
        <v>60000</v>
      </c>
      <c r="T105" s="2">
        <f t="shared" si="10"/>
        <v>120000</v>
      </c>
      <c r="V105" s="3" t="s">
        <v>67</v>
      </c>
    </row>
    <row r="106" spans="1:23" x14ac:dyDescent="0.25">
      <c r="A106" s="11" t="s">
        <v>18</v>
      </c>
      <c r="B106" s="11"/>
      <c r="C106" s="11"/>
      <c r="E106" s="2">
        <v>600</v>
      </c>
      <c r="F106" s="2">
        <f t="shared" si="8"/>
        <v>0</v>
      </c>
      <c r="H106">
        <f>70/3</f>
        <v>23.333333333333332</v>
      </c>
      <c r="J106" s="11" t="s">
        <v>18</v>
      </c>
      <c r="L106" s="2">
        <v>600</v>
      </c>
      <c r="M106" s="2">
        <f t="shared" si="9"/>
        <v>0</v>
      </c>
      <c r="O106">
        <f>70/3</f>
        <v>23.333333333333332</v>
      </c>
      <c r="Q106" s="11" t="s">
        <v>18</v>
      </c>
      <c r="S106" s="2">
        <v>600</v>
      </c>
      <c r="T106" s="2">
        <f t="shared" si="10"/>
        <v>0</v>
      </c>
      <c r="V106">
        <f>70/3</f>
        <v>23.333333333333332</v>
      </c>
    </row>
    <row r="107" spans="1:23" x14ac:dyDescent="0.25">
      <c r="A107" s="11" t="s">
        <v>19</v>
      </c>
      <c r="B107" s="11"/>
      <c r="C107" s="11"/>
      <c r="E107" s="2">
        <v>300</v>
      </c>
      <c r="F107" s="2">
        <f t="shared" si="8"/>
        <v>0</v>
      </c>
      <c r="J107" s="11" t="s">
        <v>19</v>
      </c>
      <c r="L107" s="2">
        <v>300</v>
      </c>
      <c r="M107" s="2">
        <f t="shared" si="9"/>
        <v>0</v>
      </c>
      <c r="Q107" s="11" t="s">
        <v>19</v>
      </c>
      <c r="S107" s="2">
        <v>300</v>
      </c>
      <c r="T107" s="2">
        <f t="shared" si="10"/>
        <v>0</v>
      </c>
    </row>
    <row r="108" spans="1:23" x14ac:dyDescent="0.25">
      <c r="A108" s="11" t="s">
        <v>21</v>
      </c>
      <c r="B108" s="11"/>
      <c r="C108" s="11"/>
      <c r="E108" s="2">
        <v>45000</v>
      </c>
      <c r="F108" s="2">
        <f t="shared" si="8"/>
        <v>0</v>
      </c>
      <c r="J108" s="11" t="s">
        <v>21</v>
      </c>
      <c r="L108" s="2">
        <v>45000</v>
      </c>
      <c r="M108" s="2">
        <f t="shared" si="9"/>
        <v>0</v>
      </c>
      <c r="Q108" s="11" t="s">
        <v>21</v>
      </c>
      <c r="S108" s="2">
        <v>45000</v>
      </c>
      <c r="T108" s="2">
        <f t="shared" si="10"/>
        <v>0</v>
      </c>
    </row>
    <row r="109" spans="1:23" x14ac:dyDescent="0.25">
      <c r="A109" s="11" t="s">
        <v>20</v>
      </c>
      <c r="B109" s="11"/>
      <c r="C109" s="11"/>
      <c r="D109">
        <v>1</v>
      </c>
      <c r="E109" s="2">
        <v>15000</v>
      </c>
      <c r="F109" s="2">
        <f t="shared" si="8"/>
        <v>15000</v>
      </c>
      <c r="J109" s="11" t="s">
        <v>20</v>
      </c>
      <c r="K109">
        <v>1</v>
      </c>
      <c r="L109" s="2">
        <v>15000</v>
      </c>
      <c r="M109" s="2">
        <f t="shared" si="9"/>
        <v>15000</v>
      </c>
      <c r="Q109" s="11" t="s">
        <v>20</v>
      </c>
      <c r="R109">
        <v>1</v>
      </c>
      <c r="S109" s="2">
        <v>15000</v>
      </c>
      <c r="T109" s="2">
        <f t="shared" si="10"/>
        <v>15000</v>
      </c>
    </row>
    <row r="110" spans="1:23" x14ac:dyDescent="0.25">
      <c r="A110" s="11" t="s">
        <v>22</v>
      </c>
      <c r="B110" s="11"/>
      <c r="C110" s="11"/>
      <c r="D110" s="20">
        <f>IF(H97&lt;160,160,H97)</f>
        <v>160</v>
      </c>
      <c r="E110" s="2">
        <v>250</v>
      </c>
      <c r="F110" s="2">
        <f t="shared" si="8"/>
        <v>40000</v>
      </c>
      <c r="J110" s="11" t="s">
        <v>22</v>
      </c>
      <c r="K110" s="20">
        <f>IF(O97&lt;160,160,O97)</f>
        <v>160</v>
      </c>
      <c r="L110" s="2">
        <v>250</v>
      </c>
      <c r="M110" s="2">
        <f t="shared" si="9"/>
        <v>40000</v>
      </c>
      <c r="Q110" s="11" t="s">
        <v>22</v>
      </c>
      <c r="R110" s="20">
        <f>IF(V97&lt;160,160,V97)</f>
        <v>160</v>
      </c>
      <c r="S110" s="2">
        <v>250</v>
      </c>
      <c r="T110" s="2">
        <f t="shared" si="10"/>
        <v>40000</v>
      </c>
    </row>
    <row r="111" spans="1:23" x14ac:dyDescent="0.25">
      <c r="A111" s="11" t="s">
        <v>24</v>
      </c>
      <c r="B111" s="11"/>
      <c r="C111" s="11"/>
      <c r="D111" s="20">
        <v>1</v>
      </c>
      <c r="E111" s="2">
        <v>40000</v>
      </c>
      <c r="F111" s="2">
        <f t="shared" si="8"/>
        <v>40000</v>
      </c>
      <c r="H111">
        <f>21000/100</f>
        <v>210</v>
      </c>
      <c r="J111" s="11" t="s">
        <v>24</v>
      </c>
      <c r="K111" s="20">
        <v>1</v>
      </c>
      <c r="L111" s="2">
        <v>40000</v>
      </c>
      <c r="M111" s="2">
        <f t="shared" si="9"/>
        <v>40000</v>
      </c>
      <c r="O111">
        <f>21000/100</f>
        <v>210</v>
      </c>
      <c r="Q111" s="11" t="s">
        <v>24</v>
      </c>
      <c r="R111" s="20">
        <v>1</v>
      </c>
      <c r="S111" s="2">
        <v>40000</v>
      </c>
      <c r="T111" s="2">
        <f t="shared" si="10"/>
        <v>40000</v>
      </c>
      <c r="V111">
        <f>21000/100</f>
        <v>210</v>
      </c>
    </row>
    <row r="112" spans="1:23" x14ac:dyDescent="0.25">
      <c r="A112" s="11" t="s">
        <v>23</v>
      </c>
      <c r="B112" s="11"/>
      <c r="C112" s="11"/>
      <c r="D112" s="20">
        <f>IF(H97&lt;146,146,H97)</f>
        <v>146</v>
      </c>
      <c r="E112" s="2">
        <v>275</v>
      </c>
      <c r="F112" s="2">
        <f t="shared" si="8"/>
        <v>40150</v>
      </c>
      <c r="J112" s="11" t="s">
        <v>23</v>
      </c>
      <c r="K112" s="20">
        <f>IF(O97&lt;146,146,O97)</f>
        <v>146</v>
      </c>
      <c r="L112" s="2">
        <v>275</v>
      </c>
      <c r="M112" s="2">
        <f t="shared" si="9"/>
        <v>40150</v>
      </c>
      <c r="Q112" s="11" t="s">
        <v>23</v>
      </c>
      <c r="R112" s="20">
        <f>IF(V97&lt;146,146,V97)</f>
        <v>146</v>
      </c>
      <c r="S112" s="2">
        <v>275</v>
      </c>
      <c r="T112" s="2">
        <f t="shared" si="10"/>
        <v>40150</v>
      </c>
    </row>
    <row r="113" spans="1:22" x14ac:dyDescent="0.25">
      <c r="A113" s="11" t="s">
        <v>25</v>
      </c>
      <c r="B113" s="11"/>
      <c r="C113" s="11"/>
      <c r="D113" s="20">
        <f>IF(H97&lt;110,110,H97)</f>
        <v>110</v>
      </c>
      <c r="E113" s="2">
        <v>670</v>
      </c>
      <c r="F113" s="2">
        <f t="shared" si="8"/>
        <v>73700</v>
      </c>
      <c r="J113" s="11" t="s">
        <v>25</v>
      </c>
      <c r="K113" s="20">
        <f>IF(O97&lt;110,110,O97)</f>
        <v>110</v>
      </c>
      <c r="L113" s="2">
        <v>670</v>
      </c>
      <c r="M113" s="2">
        <f t="shared" si="9"/>
        <v>73700</v>
      </c>
      <c r="Q113" s="11" t="s">
        <v>25</v>
      </c>
      <c r="R113" s="20">
        <f>IF(V97&lt;110,110,V97)</f>
        <v>110</v>
      </c>
      <c r="S113" s="2">
        <v>670</v>
      </c>
      <c r="T113" s="2">
        <f t="shared" si="10"/>
        <v>73700</v>
      </c>
    </row>
    <row r="114" spans="1:22" x14ac:dyDescent="0.25">
      <c r="A114" s="11" t="s">
        <v>38</v>
      </c>
      <c r="B114" s="11"/>
      <c r="C114" s="11"/>
      <c r="D114">
        <v>100</v>
      </c>
      <c r="E114" s="2">
        <v>150</v>
      </c>
      <c r="F114" s="2">
        <f t="shared" si="8"/>
        <v>15000</v>
      </c>
      <c r="J114" s="11" t="s">
        <v>38</v>
      </c>
      <c r="K114">
        <v>100</v>
      </c>
      <c r="L114" s="2">
        <v>150</v>
      </c>
      <c r="M114" s="2">
        <f t="shared" si="9"/>
        <v>15000</v>
      </c>
      <c r="Q114" s="11" t="s">
        <v>38</v>
      </c>
      <c r="R114">
        <v>100</v>
      </c>
      <c r="S114" s="2">
        <v>150</v>
      </c>
      <c r="T114" s="2">
        <f t="shared" si="10"/>
        <v>15000</v>
      </c>
    </row>
    <row r="115" spans="1:22" x14ac:dyDescent="0.25">
      <c r="A115" s="11" t="s">
        <v>26</v>
      </c>
      <c r="B115" s="11"/>
      <c r="C115" s="11"/>
      <c r="D115">
        <v>1</v>
      </c>
      <c r="E115" s="2">
        <v>10000</v>
      </c>
      <c r="F115" s="2">
        <f t="shared" si="8"/>
        <v>10000</v>
      </c>
      <c r="J115" s="11" t="s">
        <v>26</v>
      </c>
      <c r="K115">
        <v>1</v>
      </c>
      <c r="L115" s="2">
        <v>10000</v>
      </c>
      <c r="M115" s="2">
        <f t="shared" si="9"/>
        <v>10000</v>
      </c>
      <c r="Q115" s="11" t="s">
        <v>26</v>
      </c>
      <c r="R115">
        <v>1</v>
      </c>
      <c r="S115" s="2">
        <v>10000</v>
      </c>
      <c r="T115" s="2">
        <f t="shared" si="10"/>
        <v>10000</v>
      </c>
    </row>
    <row r="116" spans="1:22" x14ac:dyDescent="0.25">
      <c r="A116" s="11" t="s">
        <v>36</v>
      </c>
      <c r="B116" s="11"/>
      <c r="C116" s="11"/>
      <c r="D116" s="20"/>
      <c r="E116" s="2">
        <v>5000</v>
      </c>
      <c r="F116" s="2">
        <f t="shared" si="8"/>
        <v>0</v>
      </c>
      <c r="J116" s="11" t="s">
        <v>36</v>
      </c>
      <c r="K116" s="20"/>
      <c r="L116" s="2">
        <v>5000</v>
      </c>
      <c r="M116" s="2">
        <f t="shared" si="9"/>
        <v>0</v>
      </c>
      <c r="Q116" s="11" t="s">
        <v>36</v>
      </c>
      <c r="R116" s="20"/>
      <c r="S116" s="2">
        <v>5000</v>
      </c>
      <c r="T116" s="2">
        <f t="shared" si="10"/>
        <v>0</v>
      </c>
    </row>
    <row r="117" spans="1:22" x14ac:dyDescent="0.25">
      <c r="A117" s="11" t="s">
        <v>27</v>
      </c>
      <c r="B117" s="11"/>
      <c r="C117" s="11"/>
      <c r="E117" s="2"/>
      <c r="F117" s="2">
        <f t="shared" si="8"/>
        <v>0</v>
      </c>
      <c r="J117" s="11" t="s">
        <v>27</v>
      </c>
      <c r="L117" s="2"/>
      <c r="M117" s="2">
        <f t="shared" si="9"/>
        <v>0</v>
      </c>
      <c r="Q117" s="11" t="s">
        <v>27</v>
      </c>
      <c r="S117" s="2"/>
      <c r="T117" s="2">
        <f t="shared" si="10"/>
        <v>0</v>
      </c>
    </row>
    <row r="118" spans="1:22" x14ac:dyDescent="0.25">
      <c r="A118" s="11" t="s">
        <v>28</v>
      </c>
      <c r="B118" s="11"/>
      <c r="C118" s="11"/>
      <c r="E118" s="2"/>
      <c r="F118" s="2">
        <f t="shared" si="8"/>
        <v>0</v>
      </c>
      <c r="J118" s="11" t="s">
        <v>28</v>
      </c>
      <c r="L118" s="2"/>
      <c r="M118" s="2">
        <f t="shared" si="9"/>
        <v>0</v>
      </c>
      <c r="Q118" s="11" t="s">
        <v>28</v>
      </c>
      <c r="S118" s="2"/>
      <c r="T118" s="2">
        <f t="shared" si="10"/>
        <v>0</v>
      </c>
    </row>
    <row r="119" spans="1:22" x14ac:dyDescent="0.25">
      <c r="A119" s="12" t="s">
        <v>29</v>
      </c>
      <c r="B119" s="12"/>
      <c r="C119" s="12"/>
      <c r="D119" s="13"/>
      <c r="E119" s="13"/>
      <c r="F119" s="14">
        <f>SUM(F100:F109,F114:F118)</f>
        <v>379808.33333333331</v>
      </c>
      <c r="H119" s="22">
        <f>F119*2</f>
        <v>759616.66666666663</v>
      </c>
      <c r="I119" s="38"/>
      <c r="J119" s="12" t="s">
        <v>29</v>
      </c>
      <c r="K119" s="13"/>
      <c r="L119" s="13"/>
      <c r="M119" s="14">
        <f>SUM(M100:M109,M114:M118)</f>
        <v>379808.33333333331</v>
      </c>
      <c r="O119" s="22">
        <f>M119*2</f>
        <v>759616.66666666663</v>
      </c>
      <c r="P119" s="38"/>
      <c r="Q119" s="12" t="s">
        <v>29</v>
      </c>
      <c r="R119" s="13"/>
      <c r="S119" s="13"/>
      <c r="T119" s="14">
        <f>SUM(T100:T109,T114:T118)</f>
        <v>379808.33333333331</v>
      </c>
      <c r="V119" s="22">
        <f>T119*2</f>
        <v>759616.66666666663</v>
      </c>
    </row>
    <row r="120" spans="1:22" x14ac:dyDescent="0.25">
      <c r="A120" s="12" t="s">
        <v>31</v>
      </c>
      <c r="B120" s="12"/>
      <c r="C120" s="12"/>
      <c r="D120" s="13"/>
      <c r="E120" s="13"/>
      <c r="F120" s="14">
        <f>SUM(F100:F110,F114:F118)</f>
        <v>419808.33333333331</v>
      </c>
      <c r="H120" s="22">
        <f>F120*2</f>
        <v>839616.66666666663</v>
      </c>
      <c r="I120" s="38"/>
      <c r="J120" s="12" t="s">
        <v>31</v>
      </c>
      <c r="K120" s="13"/>
      <c r="L120" s="13"/>
      <c r="M120" s="14">
        <f>SUM(M100:M110,M114:M118)</f>
        <v>419808.33333333331</v>
      </c>
      <c r="O120" s="22">
        <f>M120*2</f>
        <v>839616.66666666663</v>
      </c>
      <c r="P120" s="38"/>
      <c r="Q120" s="12" t="s">
        <v>31</v>
      </c>
      <c r="R120" s="13"/>
      <c r="S120" s="13"/>
      <c r="T120" s="14">
        <f>SUM(T100:T110,T114:T118)</f>
        <v>419808.33333333331</v>
      </c>
      <c r="V120" s="22">
        <f>T120*2</f>
        <v>839616.66666666663</v>
      </c>
    </row>
    <row r="121" spans="1:22" x14ac:dyDescent="0.25">
      <c r="A121" s="12" t="s">
        <v>32</v>
      </c>
      <c r="B121" s="12"/>
      <c r="C121" s="12"/>
      <c r="D121" s="13"/>
      <c r="E121" s="13"/>
      <c r="F121" s="14">
        <f>SUM(F100:F109,F111:F112,F114:F118)</f>
        <v>459958.33333333331</v>
      </c>
      <c r="H121" s="22">
        <f>F121*1.8</f>
        <v>827925</v>
      </c>
      <c r="I121" s="38"/>
      <c r="J121" s="12" t="s">
        <v>32</v>
      </c>
      <c r="K121" s="13"/>
      <c r="L121" s="13"/>
      <c r="M121" s="14">
        <f>SUM(M100:M109,M111:M112,M114:M118)</f>
        <v>459958.33333333331</v>
      </c>
      <c r="O121" s="22">
        <f>M121*1.8</f>
        <v>827925</v>
      </c>
      <c r="P121" s="38"/>
      <c r="Q121" s="12" t="s">
        <v>32</v>
      </c>
      <c r="R121" s="13"/>
      <c r="S121" s="13"/>
      <c r="T121" s="14">
        <f>SUM(T100:T109,T111:T112,T114:T118)</f>
        <v>459958.33333333331</v>
      </c>
      <c r="V121" s="22">
        <f>T121*1.8</f>
        <v>827925</v>
      </c>
    </row>
    <row r="122" spans="1:22" x14ac:dyDescent="0.25">
      <c r="A122" s="12" t="s">
        <v>30</v>
      </c>
      <c r="B122" s="12"/>
      <c r="C122" s="12"/>
      <c r="D122" s="13"/>
      <c r="E122" s="13"/>
      <c r="F122" s="14">
        <f>SUM(F100:F109,F113:F118)</f>
        <v>453508.33333333331</v>
      </c>
      <c r="H122" s="22">
        <f>F122*1.8</f>
        <v>816315</v>
      </c>
      <c r="I122" s="38"/>
      <c r="J122" s="12" t="s">
        <v>30</v>
      </c>
      <c r="K122" s="13"/>
      <c r="L122" s="13"/>
      <c r="M122" s="14">
        <f>SUM(M100:M109,M113:M118)</f>
        <v>453508.33333333331</v>
      </c>
      <c r="O122" s="22">
        <f>M122*1.8</f>
        <v>816315</v>
      </c>
      <c r="P122" s="38"/>
      <c r="Q122" s="12" t="s">
        <v>30</v>
      </c>
      <c r="R122" s="13"/>
      <c r="S122" s="13"/>
      <c r="T122" s="14">
        <f>SUM(T100:T109,T113:T118)</f>
        <v>453508.33333333331</v>
      </c>
      <c r="V122" s="22">
        <f>T122*1.8</f>
        <v>816315</v>
      </c>
    </row>
    <row r="123" spans="1:22" x14ac:dyDescent="0.25">
      <c r="A123" s="12" t="s">
        <v>33</v>
      </c>
      <c r="B123" s="12"/>
      <c r="C123" s="12"/>
      <c r="D123" s="13"/>
      <c r="E123" s="13"/>
      <c r="F123" s="14">
        <f>SUM(F100:F109,F111:F118)</f>
        <v>533658.33333333326</v>
      </c>
      <c r="H123" s="22">
        <f>F123*1.8</f>
        <v>960584.99999999988</v>
      </c>
      <c r="I123" s="38"/>
      <c r="J123" s="12" t="s">
        <v>33</v>
      </c>
      <c r="K123" s="13"/>
      <c r="L123" s="13"/>
      <c r="M123" s="14">
        <f>SUM(M100:M109,M111:M118)</f>
        <v>533658.33333333326</v>
      </c>
      <c r="O123" s="22">
        <f>M123*1.8</f>
        <v>960584.99999999988</v>
      </c>
      <c r="P123" s="38"/>
      <c r="Q123" s="12" t="s">
        <v>33</v>
      </c>
      <c r="R123" s="13"/>
      <c r="S123" s="13"/>
      <c r="T123" s="14">
        <f>SUM(T100:T109,T111:T118)</f>
        <v>533658.33333333326</v>
      </c>
      <c r="V123" s="22">
        <f>T123*1.8</f>
        <v>960584.99999999988</v>
      </c>
    </row>
    <row r="125" spans="1:22" x14ac:dyDescent="0.25">
      <c r="G125" t="s">
        <v>70</v>
      </c>
      <c r="H125" t="s">
        <v>71</v>
      </c>
      <c r="N125" t="s">
        <v>70</v>
      </c>
      <c r="O125" t="s">
        <v>71</v>
      </c>
      <c r="U125" t="s">
        <v>70</v>
      </c>
      <c r="V125" t="s">
        <v>71</v>
      </c>
    </row>
    <row r="126" spans="1:22" x14ac:dyDescent="0.25">
      <c r="A126" s="12" t="s">
        <v>72</v>
      </c>
      <c r="B126" s="12"/>
      <c r="C126" s="12"/>
      <c r="D126">
        <v>300</v>
      </c>
      <c r="F126" t="s">
        <v>68</v>
      </c>
      <c r="G126">
        <v>1050</v>
      </c>
      <c r="H126">
        <v>1000</v>
      </c>
      <c r="J126" s="12" t="s">
        <v>72</v>
      </c>
      <c r="K126">
        <v>300</v>
      </c>
      <c r="M126" t="s">
        <v>68</v>
      </c>
      <c r="N126">
        <v>1050</v>
      </c>
      <c r="O126">
        <v>1000</v>
      </c>
      <c r="Q126" s="12" t="s">
        <v>72</v>
      </c>
      <c r="R126">
        <v>300</v>
      </c>
      <c r="T126" t="s">
        <v>68</v>
      </c>
      <c r="U126">
        <v>1050</v>
      </c>
      <c r="V126">
        <v>1000</v>
      </c>
    </row>
    <row r="127" spans="1:22" x14ac:dyDescent="0.25">
      <c r="D127">
        <v>350</v>
      </c>
      <c r="G127">
        <v>1120</v>
      </c>
      <c r="H127">
        <v>1080</v>
      </c>
      <c r="K127">
        <v>350</v>
      </c>
      <c r="N127">
        <v>1120</v>
      </c>
      <c r="O127">
        <v>1080</v>
      </c>
      <c r="R127">
        <v>350</v>
      </c>
      <c r="U127">
        <v>1120</v>
      </c>
      <c r="V127">
        <v>1080</v>
      </c>
    </row>
    <row r="128" spans="1:22" x14ac:dyDescent="0.25">
      <c r="F128" t="s">
        <v>69</v>
      </c>
      <c r="G128">
        <v>790</v>
      </c>
      <c r="H128">
        <v>760</v>
      </c>
      <c r="M128" t="s">
        <v>69</v>
      </c>
      <c r="N128">
        <v>790</v>
      </c>
      <c r="O128">
        <v>760</v>
      </c>
      <c r="T128" t="s">
        <v>69</v>
      </c>
      <c r="U128">
        <v>790</v>
      </c>
      <c r="V128">
        <v>760</v>
      </c>
    </row>
    <row r="129" spans="7:22" x14ac:dyDescent="0.25">
      <c r="G129">
        <v>870</v>
      </c>
      <c r="H129">
        <v>840</v>
      </c>
      <c r="N129">
        <v>870</v>
      </c>
      <c r="O129">
        <v>840</v>
      </c>
      <c r="U129">
        <v>870</v>
      </c>
      <c r="V129">
        <v>840</v>
      </c>
    </row>
  </sheetData>
  <mergeCells count="38">
    <mergeCell ref="A48:H48"/>
    <mergeCell ref="A49:H49"/>
    <mergeCell ref="A52:H52"/>
    <mergeCell ref="A55:H55"/>
    <mergeCell ref="A92:H92"/>
    <mergeCell ref="A58:H58"/>
    <mergeCell ref="A4:H4"/>
    <mergeCell ref="A5:H5"/>
    <mergeCell ref="A8:H8"/>
    <mergeCell ref="A11:H11"/>
    <mergeCell ref="A14:H14"/>
    <mergeCell ref="J48:O48"/>
    <mergeCell ref="J49:O49"/>
    <mergeCell ref="J52:O52"/>
    <mergeCell ref="J55:O55"/>
    <mergeCell ref="J87:O87"/>
    <mergeCell ref="J4:O4"/>
    <mergeCell ref="J5:O5"/>
    <mergeCell ref="J8:O8"/>
    <mergeCell ref="J11:O11"/>
    <mergeCell ref="J14:O14"/>
    <mergeCell ref="Q4:V4"/>
    <mergeCell ref="Q55:V55"/>
    <mergeCell ref="Q48:V48"/>
    <mergeCell ref="Q5:V5"/>
    <mergeCell ref="Q14:V14"/>
    <mergeCell ref="Q8:V8"/>
    <mergeCell ref="Q49:V49"/>
    <mergeCell ref="Q52:V52"/>
    <mergeCell ref="Q11:V11"/>
    <mergeCell ref="A95:H95"/>
    <mergeCell ref="Q87:V87"/>
    <mergeCell ref="Q88:V88"/>
    <mergeCell ref="Q92:V92"/>
    <mergeCell ref="Q95:V95"/>
    <mergeCell ref="J88:O88"/>
    <mergeCell ref="J92:O92"/>
    <mergeCell ref="J95:O9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topLeftCell="A5" zoomScale="274" zoomScaleNormal="274" workbookViewId="0">
      <selection activeCell="C14" sqref="C14"/>
    </sheetView>
  </sheetViews>
  <sheetFormatPr baseColWidth="10" defaultRowHeight="15" x14ac:dyDescent="0.25"/>
  <cols>
    <col min="1" max="1" width="14" bestFit="1" customWidth="1"/>
    <col min="2" max="2" width="0" hidden="1" customWidth="1"/>
    <col min="4" max="4" width="0" hidden="1" customWidth="1"/>
  </cols>
  <sheetData>
    <row r="1" spans="1:5" x14ac:dyDescent="0.25">
      <c r="A1">
        <v>1.8</v>
      </c>
      <c r="B1">
        <v>1.65</v>
      </c>
      <c r="C1">
        <v>1.6</v>
      </c>
    </row>
    <row r="3" spans="1:5" x14ac:dyDescent="0.25">
      <c r="A3" t="s">
        <v>91</v>
      </c>
      <c r="B3" s="47" t="s">
        <v>85</v>
      </c>
      <c r="C3" s="47" t="s">
        <v>85</v>
      </c>
      <c r="D3" s="47" t="s">
        <v>86</v>
      </c>
      <c r="E3" s="47" t="s">
        <v>86</v>
      </c>
    </row>
    <row r="4" spans="1:5" x14ac:dyDescent="0.25">
      <c r="A4" t="s">
        <v>88</v>
      </c>
      <c r="B4">
        <v>52</v>
      </c>
      <c r="C4" s="48">
        <f>B4*$A$1</f>
        <v>93.600000000000009</v>
      </c>
      <c r="D4">
        <v>103</v>
      </c>
      <c r="E4" s="48">
        <f>D4*$A$1</f>
        <v>185.4</v>
      </c>
    </row>
    <row r="5" spans="1:5" x14ac:dyDescent="0.25">
      <c r="A5" t="s">
        <v>89</v>
      </c>
      <c r="B5">
        <v>50</v>
      </c>
      <c r="C5" s="48">
        <f>B5*$B$1</f>
        <v>82.5</v>
      </c>
      <c r="D5">
        <v>101</v>
      </c>
      <c r="E5" s="48">
        <f>D5*$B$1</f>
        <v>166.64999999999998</v>
      </c>
    </row>
    <row r="6" spans="1:5" x14ac:dyDescent="0.25">
      <c r="A6" t="s">
        <v>90</v>
      </c>
      <c r="B6">
        <v>47</v>
      </c>
      <c r="C6" s="48">
        <f>B6*$C$1</f>
        <v>75.2</v>
      </c>
      <c r="D6">
        <v>95</v>
      </c>
      <c r="E6" s="48">
        <f>D6*$C$1</f>
        <v>152</v>
      </c>
    </row>
    <row r="7" spans="1:5" x14ac:dyDescent="0.25">
      <c r="A7" t="s">
        <v>84</v>
      </c>
      <c r="C7" s="48"/>
      <c r="E7" s="48"/>
    </row>
    <row r="8" spans="1:5" x14ac:dyDescent="0.25">
      <c r="A8" t="s">
        <v>88</v>
      </c>
      <c r="B8">
        <v>99</v>
      </c>
      <c r="C8" s="48">
        <f>B8*$A$1</f>
        <v>178.20000000000002</v>
      </c>
      <c r="D8">
        <v>205</v>
      </c>
      <c r="E8" s="48">
        <f>D8*$A$1</f>
        <v>369</v>
      </c>
    </row>
    <row r="9" spans="1:5" x14ac:dyDescent="0.25">
      <c r="A9" t="s">
        <v>89</v>
      </c>
      <c r="B9">
        <v>96</v>
      </c>
      <c r="C9" s="48">
        <f>B9*$B$1</f>
        <v>158.39999999999998</v>
      </c>
      <c r="D9">
        <v>198</v>
      </c>
      <c r="E9" s="48">
        <f>D9*$B$1</f>
        <v>326.7</v>
      </c>
    </row>
    <row r="10" spans="1:5" x14ac:dyDescent="0.25">
      <c r="A10" t="s">
        <v>90</v>
      </c>
      <c r="B10">
        <v>94</v>
      </c>
      <c r="C10" s="48">
        <f>B10*$C$1</f>
        <v>150.4</v>
      </c>
      <c r="D10">
        <v>197</v>
      </c>
      <c r="E10" s="48">
        <f>D10*$C$1</f>
        <v>315.20000000000005</v>
      </c>
    </row>
    <row r="11" spans="1:5" x14ac:dyDescent="0.25">
      <c r="A11" t="s">
        <v>87</v>
      </c>
      <c r="C11" s="48"/>
      <c r="E11" s="48"/>
    </row>
    <row r="12" spans="1:5" x14ac:dyDescent="0.25">
      <c r="A12" t="s">
        <v>88</v>
      </c>
      <c r="B12">
        <v>173</v>
      </c>
      <c r="C12" s="48">
        <f>B12*$A$1</f>
        <v>311.40000000000003</v>
      </c>
      <c r="D12">
        <v>342</v>
      </c>
      <c r="E12" s="48">
        <f>D12*$A$1</f>
        <v>615.6</v>
      </c>
    </row>
    <row r="13" spans="1:5" x14ac:dyDescent="0.25">
      <c r="A13" t="s">
        <v>89</v>
      </c>
      <c r="B13">
        <v>165</v>
      </c>
      <c r="C13" s="48">
        <f>B13*$B$1</f>
        <v>272.25</v>
      </c>
      <c r="D13">
        <v>335</v>
      </c>
      <c r="E13" s="48">
        <f>D13*$B$1</f>
        <v>552.75</v>
      </c>
    </row>
    <row r="14" spans="1:5" x14ac:dyDescent="0.25">
      <c r="A14" t="s">
        <v>90</v>
      </c>
      <c r="B14">
        <v>164</v>
      </c>
      <c r="C14" s="48">
        <f>B14*$C$1</f>
        <v>262.40000000000003</v>
      </c>
      <c r="D14">
        <v>332</v>
      </c>
      <c r="E14" s="48">
        <f>D14*$C$1</f>
        <v>531.20000000000005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I13" sqref="I13"/>
    </sheetView>
  </sheetViews>
  <sheetFormatPr baseColWidth="10" defaultRowHeight="15" x14ac:dyDescent="0.25"/>
  <cols>
    <col min="1" max="1" width="9.42578125" bestFit="1" customWidth="1"/>
    <col min="2" max="2" width="11.140625" bestFit="1" customWidth="1"/>
    <col min="3" max="3" width="8.85546875" bestFit="1" customWidth="1"/>
    <col min="6" max="6" width="9.42578125" bestFit="1" customWidth="1"/>
  </cols>
  <sheetData>
    <row r="1" spans="1:8" x14ac:dyDescent="0.25">
      <c r="A1" t="s">
        <v>51</v>
      </c>
      <c r="B1" t="s">
        <v>52</v>
      </c>
      <c r="C1" t="s">
        <v>53</v>
      </c>
      <c r="F1" t="s">
        <v>51</v>
      </c>
      <c r="G1" t="s">
        <v>52</v>
      </c>
      <c r="H1" t="s">
        <v>53</v>
      </c>
    </row>
    <row r="2" spans="1:8" x14ac:dyDescent="0.25">
      <c r="A2">
        <v>5</v>
      </c>
      <c r="B2">
        <v>5</v>
      </c>
      <c r="C2">
        <v>127</v>
      </c>
      <c r="F2" s="26">
        <v>41065</v>
      </c>
      <c r="G2" t="s">
        <v>54</v>
      </c>
      <c r="H2" t="s">
        <v>55</v>
      </c>
    </row>
    <row r="3" spans="1:8" x14ac:dyDescent="0.25">
      <c r="A3">
        <v>6</v>
      </c>
      <c r="B3" s="24">
        <v>5.375</v>
      </c>
      <c r="C3">
        <v>137</v>
      </c>
      <c r="F3" s="26">
        <v>41128</v>
      </c>
      <c r="G3" t="s">
        <v>56</v>
      </c>
      <c r="H3" t="s">
        <v>57</v>
      </c>
    </row>
    <row r="4" spans="1:8" x14ac:dyDescent="0.25">
      <c r="A4">
        <v>7</v>
      </c>
      <c r="B4" s="25">
        <v>5.6875</v>
      </c>
      <c r="C4">
        <v>144</v>
      </c>
      <c r="F4" s="26">
        <v>41191</v>
      </c>
      <c r="G4" t="s">
        <v>58</v>
      </c>
      <c r="H4" t="s">
        <v>59</v>
      </c>
    </row>
    <row r="5" spans="1:8" x14ac:dyDescent="0.25">
      <c r="A5">
        <v>8</v>
      </c>
      <c r="B5">
        <v>6</v>
      </c>
      <c r="C5">
        <v>152</v>
      </c>
      <c r="F5" s="26">
        <v>41254</v>
      </c>
      <c r="G5" t="s">
        <v>60</v>
      </c>
      <c r="H5" t="s">
        <v>61</v>
      </c>
    </row>
    <row r="6" spans="1:8" x14ac:dyDescent="0.25">
      <c r="A6">
        <v>9</v>
      </c>
      <c r="B6" s="24">
        <v>6.375</v>
      </c>
      <c r="C6">
        <v>162</v>
      </c>
      <c r="F6" s="26">
        <v>40921</v>
      </c>
      <c r="G6" t="s">
        <v>62</v>
      </c>
      <c r="H6" t="s">
        <v>63</v>
      </c>
    </row>
    <row r="7" spans="1:8" x14ac:dyDescent="0.25">
      <c r="A7">
        <v>10</v>
      </c>
      <c r="B7" s="25">
        <v>6.6875</v>
      </c>
      <c r="C7">
        <v>170</v>
      </c>
      <c r="F7" s="26">
        <v>40970</v>
      </c>
      <c r="G7" t="s">
        <v>64</v>
      </c>
      <c r="H7" t="s">
        <v>65</v>
      </c>
    </row>
    <row r="8" spans="1:8" x14ac:dyDescent="0.25">
      <c r="A8">
        <v>11</v>
      </c>
      <c r="B8">
        <v>7</v>
      </c>
      <c r="C8">
        <v>178</v>
      </c>
    </row>
    <row r="9" spans="1:8" x14ac:dyDescent="0.25">
      <c r="A9">
        <v>12</v>
      </c>
      <c r="B9" s="24">
        <v>7.25</v>
      </c>
      <c r="C9">
        <v>184</v>
      </c>
    </row>
    <row r="10" spans="1:8" x14ac:dyDescent="0.25">
      <c r="A10">
        <v>13</v>
      </c>
      <c r="B10" s="24">
        <v>7.625</v>
      </c>
      <c r="C10">
        <v>194</v>
      </c>
    </row>
    <row r="11" spans="1:8" x14ac:dyDescent="0.25">
      <c r="A11">
        <v>1</v>
      </c>
      <c r="B11" s="25">
        <v>7.9375</v>
      </c>
      <c r="C11">
        <v>202</v>
      </c>
    </row>
    <row r="12" spans="1:8" x14ac:dyDescent="0.25">
      <c r="A12">
        <v>2</v>
      </c>
      <c r="B12" s="24">
        <v>8.25</v>
      </c>
      <c r="C12">
        <v>210</v>
      </c>
    </row>
    <row r="13" spans="1:8" x14ac:dyDescent="0.25">
      <c r="A13">
        <v>3</v>
      </c>
      <c r="B13" s="24">
        <v>8.625</v>
      </c>
      <c r="C13">
        <v>219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julian</cp:lastModifiedBy>
  <cp:lastPrinted>2012-05-24T17:37:04Z</cp:lastPrinted>
  <dcterms:created xsi:type="dcterms:W3CDTF">2010-07-09T16:32:21Z</dcterms:created>
  <dcterms:modified xsi:type="dcterms:W3CDTF">2023-06-30T21:43:04Z</dcterms:modified>
</cp:coreProperties>
</file>